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igitta Maria\Downloads\"/>
    </mc:Choice>
  </mc:AlternateContent>
  <xr:revisionPtr revIDLastSave="0" documentId="13_ncr:1_{59D4BF92-8E48-49C2-8CA1-AEE411E904E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orksheet (2)" sheetId="2" r:id="rId1"/>
    <sheet name="Worksheet" sheetId="1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2" l="1"/>
  <c r="F20" i="2"/>
  <c r="F19" i="2"/>
  <c r="F18" i="2"/>
  <c r="F17" i="2"/>
  <c r="F16" i="2"/>
  <c r="F15" i="2"/>
  <c r="F10" i="2"/>
  <c r="F14" i="2"/>
  <c r="F13" i="2"/>
  <c r="F12" i="2"/>
  <c r="F11" i="2"/>
  <c r="F9" i="2"/>
  <c r="F8" i="2"/>
  <c r="F7" i="2"/>
  <c r="F6" i="2"/>
  <c r="F5" i="2"/>
  <c r="G5" i="2" s="1"/>
  <c r="B6" i="2" s="1"/>
  <c r="G6" i="2" l="1"/>
  <c r="B7" i="2" s="1"/>
  <c r="G7" i="2" s="1"/>
  <c r="B8" i="2" s="1"/>
  <c r="G8" i="2" s="1"/>
  <c r="B9" i="2" s="1"/>
  <c r="G9" i="2" s="1"/>
  <c r="B10" i="2" l="1"/>
  <c r="G10" i="2" s="1"/>
  <c r="B11" i="2" s="1"/>
  <c r="G11" i="2" s="1"/>
  <c r="B12" i="2" s="1"/>
  <c r="G12" i="2" s="1"/>
  <c r="B13" i="2" s="1"/>
  <c r="G13" i="2" s="1"/>
  <c r="B14" i="2" s="1"/>
  <c r="G14" i="2" s="1"/>
  <c r="B15" i="2" s="1"/>
  <c r="G15" i="2" s="1"/>
  <c r="B16" i="2" s="1"/>
  <c r="G16" i="2" s="1"/>
  <c r="B17" i="2" s="1"/>
  <c r="G17" i="2" s="1"/>
  <c r="B18" i="2" s="1"/>
  <c r="G18" i="2" s="1"/>
  <c r="B19" i="2" s="1"/>
  <c r="G19" i="2" s="1"/>
  <c r="B20" i="2" s="1"/>
  <c r="G20" i="2" s="1"/>
  <c r="B21" i="2" s="1"/>
  <c r="G21" i="2" s="1"/>
</calcChain>
</file>

<file path=xl/sharedStrings.xml><?xml version="1.0" encoding="utf-8"?>
<sst xmlns="http://schemas.openxmlformats.org/spreadsheetml/2006/main" count="111" uniqueCount="31">
  <si>
    <t>01-Sep-26</t>
  </si>
  <si>
    <t>Hasil PRD CGL</t>
  </si>
  <si>
    <t>Pengeluaran TML</t>
  </si>
  <si>
    <t>Pengeluaran TTL</t>
  </si>
  <si>
    <t>Total pengeluaran</t>
  </si>
  <si>
    <t>Sisa stock</t>
  </si>
  <si>
    <t>02-Sep-26</t>
  </si>
  <si>
    <t>03-Sep-26</t>
  </si>
  <si>
    <t>04-Sep-26</t>
  </si>
  <si>
    <t>05-Sep-26</t>
  </si>
  <si>
    <t>07-Sep-26</t>
  </si>
  <si>
    <t>08-Sep-26</t>
  </si>
  <si>
    <t>09-Sep-26</t>
  </si>
  <si>
    <t>10-Sep-26</t>
  </si>
  <si>
    <t>11-Sep-26</t>
  </si>
  <si>
    <t>12-Sep-26</t>
  </si>
  <si>
    <t>14-Sep-26</t>
  </si>
  <si>
    <t>15-Sep-26</t>
  </si>
  <si>
    <t>16-Sep-26</t>
  </si>
  <si>
    <t>17-Sep-26</t>
  </si>
  <si>
    <t>18-Sep-26</t>
  </si>
  <si>
    <t>19-Sep-26</t>
  </si>
  <si>
    <t>Saldo Awal</t>
  </si>
  <si>
    <t>Saldo Akhir</t>
  </si>
  <si>
    <t>Tgl</t>
  </si>
  <si>
    <t>Hasil Prod CGL</t>
  </si>
  <si>
    <t>Pengeluaran</t>
  </si>
  <si>
    <t>TML</t>
  </si>
  <si>
    <t>TTL</t>
  </si>
  <si>
    <t>Total Pengeluaran</t>
  </si>
  <si>
    <t>POSISI STOCK WH TML -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</si>
</sst>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1" applyNumberFormat="1" applyFont="1"/>
    <xf numFmtId="164" fontId="1" fillId="2" borderId="0" xfId="1" applyNumberFormat="1" applyFont="1" applyFill="1"/>
    <xf numFmtId="164" fontId="1" fillId="0" borderId="0" xfId="1" applyNumberFormat="1" applyFont="1"/>
    <xf numFmtId="0" fontId="0" fillId="0" borderId="0" xfId="0" applyAlignment="1">
      <alignment horizontal="center"/>
    </xf>
    <xf numFmtId="164" fontId="0" fillId="0" borderId="1" xfId="1" applyNumberFormat="1" applyFont="1" applyBorder="1"/>
    <xf numFmtId="164" fontId="1" fillId="2" borderId="1" xfId="1" applyNumberFormat="1" applyFont="1" applyFill="1" applyBorder="1"/>
    <xf numFmtId="164" fontId="1" fillId="0" borderId="1" xfId="1" applyNumberFormat="1" applyFont="1" applyBorder="1"/>
    <xf numFmtId="15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2" xfId="1" applyNumberFormat="1" applyFont="1" applyFill="1" applyBorder="1" applyAlignment="1">
      <alignment horizontal="center" vertical="center"/>
    </xf>
    <xf numFmtId="164" fontId="3" fillId="3" borderId="3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POSISI STOCK WH TML CIK - SEPTEMBER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Saldo Awal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'Worksheet (2)'!$A$5:$A$21</c:f>
              <c:numCache>
                <c:formatCode>d\-mmm\-yy</c:formatCode>
                <c:ptCount val="17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46272</c:v>
                </c:pt>
                <c:pt idx="6">
                  <c:v>46273</c:v>
                </c:pt>
                <c:pt idx="7">
                  <c:v>46274</c:v>
                </c:pt>
                <c:pt idx="8">
                  <c:v>46275</c:v>
                </c:pt>
                <c:pt idx="9">
                  <c:v>46276</c:v>
                </c:pt>
                <c:pt idx="10">
                  <c:v>46277</c:v>
                </c:pt>
                <c:pt idx="11">
                  <c:v>46279</c:v>
                </c:pt>
                <c:pt idx="12">
                  <c:v>46280</c:v>
                </c:pt>
                <c:pt idx="13">
                  <c:v>46281</c:v>
                </c:pt>
                <c:pt idx="14">
                  <c:v>46282</c:v>
                </c:pt>
                <c:pt idx="15">
                  <c:v>46283</c:v>
                </c:pt>
                <c:pt idx="16">
                  <c:v>46284</c:v>
                </c:pt>
              </c:numCache>
            </c:numRef>
          </c:cat>
          <c:val>
            <c:numRef>
              <c:f>'Worksheet (2)'!$B$5:$B$21</c:f>
              <c:numCache>
                <c:formatCode>_-* #,##0_-;\-* #,##0_-;_-* "-"??_-;_-@_-</c:formatCode>
                <c:ptCount val="17"/>
                <c:pt idx="0">
                  <c:v>12193433</c:v>
                </c:pt>
                <c:pt idx="1">
                  <c:v>11724473</c:v>
                </c:pt>
                <c:pt idx="2">
                  <c:v>11316636</c:v>
                </c:pt>
                <c:pt idx="3">
                  <c:v>10915955</c:v>
                </c:pt>
                <c:pt idx="4">
                  <c:v>11320674</c:v>
                </c:pt>
                <c:pt idx="5">
                  <c:v>11622609</c:v>
                </c:pt>
                <c:pt idx="6">
                  <c:v>12057355</c:v>
                </c:pt>
                <c:pt idx="7">
                  <c:v>11681031</c:v>
                </c:pt>
                <c:pt idx="8">
                  <c:v>11771058</c:v>
                </c:pt>
                <c:pt idx="9">
                  <c:v>11911707</c:v>
                </c:pt>
                <c:pt idx="10">
                  <c:v>11569518</c:v>
                </c:pt>
                <c:pt idx="11">
                  <c:v>11302580</c:v>
                </c:pt>
                <c:pt idx="12">
                  <c:v>11847032</c:v>
                </c:pt>
                <c:pt idx="13">
                  <c:v>11860383</c:v>
                </c:pt>
                <c:pt idx="14">
                  <c:v>11899761</c:v>
                </c:pt>
                <c:pt idx="15">
                  <c:v>11955614</c:v>
                </c:pt>
                <c:pt idx="16">
                  <c:v>12123607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5-4808-8324-A90EFADD13E8}"/>
            </c:ext>
          </c:extLst>
        </c:ser>
        <c:ser>
          <c:idx val="1"/>
          <c:order val="1"/>
          <c:tx>
            <c:v>Hasil Prod CGL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'Worksheet (2)'!$A$5:$A$21</c:f>
              <c:numCache>
                <c:formatCode>d\-mmm\-yy</c:formatCode>
                <c:ptCount val="17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46272</c:v>
                </c:pt>
                <c:pt idx="6">
                  <c:v>46273</c:v>
                </c:pt>
                <c:pt idx="7">
                  <c:v>46274</c:v>
                </c:pt>
                <c:pt idx="8">
                  <c:v>46275</c:v>
                </c:pt>
                <c:pt idx="9">
                  <c:v>46276</c:v>
                </c:pt>
                <c:pt idx="10">
                  <c:v>46277</c:v>
                </c:pt>
                <c:pt idx="11">
                  <c:v>46279</c:v>
                </c:pt>
                <c:pt idx="12">
                  <c:v>46280</c:v>
                </c:pt>
                <c:pt idx="13">
                  <c:v>46281</c:v>
                </c:pt>
                <c:pt idx="14">
                  <c:v>46282</c:v>
                </c:pt>
                <c:pt idx="15">
                  <c:v>46283</c:v>
                </c:pt>
                <c:pt idx="16">
                  <c:v>46284</c:v>
                </c:pt>
              </c:numCache>
            </c:numRef>
          </c:cat>
          <c:val>
            <c:numRef>
              <c:f>'Worksheet (2)'!$C$5:$C$21</c:f>
              <c:numCache>
                <c:formatCode>_-* #,##0_-;\-* #,##0_-;_-* "-"??_-;_-@_-</c:formatCode>
                <c:ptCount val="17"/>
                <c:pt idx="0">
                  <c:v>219002</c:v>
                </c:pt>
                <c:pt idx="1">
                  <c:v>151150</c:v>
                </c:pt>
                <c:pt idx="2">
                  <c:v>397826</c:v>
                </c:pt>
                <c:pt idx="3">
                  <c:v>1137015</c:v>
                </c:pt>
                <c:pt idx="4">
                  <c:v>653862</c:v>
                </c:pt>
                <c:pt idx="5">
                  <c:v>1224857</c:v>
                </c:pt>
                <c:pt idx="6">
                  <c:v>429891</c:v>
                </c:pt>
                <c:pt idx="7">
                  <c:v>719116</c:v>
                </c:pt>
                <c:pt idx="8">
                  <c:v>962294</c:v>
                </c:pt>
                <c:pt idx="9">
                  <c:v>317240</c:v>
                </c:pt>
                <c:pt idx="10">
                  <c:v>148078</c:v>
                </c:pt>
                <c:pt idx="11">
                  <c:v>1299550</c:v>
                </c:pt>
                <c:pt idx="12">
                  <c:v>735279</c:v>
                </c:pt>
                <c:pt idx="13">
                  <c:v>677058</c:v>
                </c:pt>
                <c:pt idx="14">
                  <c:v>850370</c:v>
                </c:pt>
                <c:pt idx="15">
                  <c:v>1002647</c:v>
                </c:pt>
                <c:pt idx="16">
                  <c:v>731204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5-4808-8324-A90EFADD13E8}"/>
            </c:ext>
          </c:extLst>
        </c:ser>
        <c:ser>
          <c:idx val="2"/>
          <c:order val="2"/>
          <c:tx>
            <c:v>Pengeluaran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'Worksheet (2)'!$A$5:$A$21</c:f>
              <c:numCache>
                <c:formatCode>d\-mmm\-yy</c:formatCode>
                <c:ptCount val="17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46272</c:v>
                </c:pt>
                <c:pt idx="6">
                  <c:v>46273</c:v>
                </c:pt>
                <c:pt idx="7">
                  <c:v>46274</c:v>
                </c:pt>
                <c:pt idx="8">
                  <c:v>46275</c:v>
                </c:pt>
                <c:pt idx="9">
                  <c:v>46276</c:v>
                </c:pt>
                <c:pt idx="10">
                  <c:v>46277</c:v>
                </c:pt>
                <c:pt idx="11">
                  <c:v>46279</c:v>
                </c:pt>
                <c:pt idx="12">
                  <c:v>46280</c:v>
                </c:pt>
                <c:pt idx="13">
                  <c:v>46281</c:v>
                </c:pt>
                <c:pt idx="14">
                  <c:v>46282</c:v>
                </c:pt>
                <c:pt idx="15">
                  <c:v>46283</c:v>
                </c:pt>
                <c:pt idx="16">
                  <c:v>46284</c:v>
                </c:pt>
              </c:numCache>
            </c:numRef>
          </c:cat>
          <c:val>
            <c:numRef>
              <c:f>'Worksheet (2)'!$F$5:$F$21</c:f>
              <c:numCache>
                <c:formatCode>_-* #,##0_-;\-* #,##0_-;_-* "-"??_-;_-@_-</c:formatCode>
                <c:ptCount val="17"/>
                <c:pt idx="0">
                  <c:v>687962</c:v>
                </c:pt>
                <c:pt idx="1">
                  <c:v>558987</c:v>
                </c:pt>
                <c:pt idx="2">
                  <c:v>798507</c:v>
                </c:pt>
                <c:pt idx="3">
                  <c:v>732296</c:v>
                </c:pt>
                <c:pt idx="4">
                  <c:v>351927</c:v>
                </c:pt>
                <c:pt idx="5">
                  <c:v>790111</c:v>
                </c:pt>
                <c:pt idx="6">
                  <c:v>806215</c:v>
                </c:pt>
                <c:pt idx="7">
                  <c:v>629089</c:v>
                </c:pt>
                <c:pt idx="8">
                  <c:v>821645</c:v>
                </c:pt>
                <c:pt idx="9">
                  <c:v>659429</c:v>
                </c:pt>
                <c:pt idx="10">
                  <c:v>415016</c:v>
                </c:pt>
                <c:pt idx="11">
                  <c:v>755098</c:v>
                </c:pt>
                <c:pt idx="12">
                  <c:v>721928</c:v>
                </c:pt>
                <c:pt idx="13">
                  <c:v>637680</c:v>
                </c:pt>
                <c:pt idx="14">
                  <c:v>794517</c:v>
                </c:pt>
                <c:pt idx="15">
                  <c:v>834654</c:v>
                </c:pt>
                <c:pt idx="16">
                  <c:v>860512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05-4808-8324-A90EFADD13E8}"/>
            </c:ext>
          </c:extLst>
        </c:ser>
        <c:ser>
          <c:idx val="5"/>
          <c:order val="3"/>
          <c:tx>
            <c:strRef>
              <c:f>'Worksheet (2)'!$G$3</c:f>
              <c:strCache>
                <c:ptCount val="1"/>
                <c:pt idx="0">
                  <c:v>Saldo Akhir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'Worksheet (2)'!$A$5:$A$21</c:f>
              <c:numCache>
                <c:formatCode>d\-mmm\-yy</c:formatCode>
                <c:ptCount val="17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46272</c:v>
                </c:pt>
                <c:pt idx="6">
                  <c:v>46273</c:v>
                </c:pt>
                <c:pt idx="7">
                  <c:v>46274</c:v>
                </c:pt>
                <c:pt idx="8">
                  <c:v>46275</c:v>
                </c:pt>
                <c:pt idx="9">
                  <c:v>46276</c:v>
                </c:pt>
                <c:pt idx="10">
                  <c:v>46277</c:v>
                </c:pt>
                <c:pt idx="11">
                  <c:v>46279</c:v>
                </c:pt>
                <c:pt idx="12">
                  <c:v>46280</c:v>
                </c:pt>
                <c:pt idx="13">
                  <c:v>46281</c:v>
                </c:pt>
                <c:pt idx="14">
                  <c:v>46282</c:v>
                </c:pt>
                <c:pt idx="15">
                  <c:v>46283</c:v>
                </c:pt>
                <c:pt idx="16">
                  <c:v>46284</c:v>
                </c:pt>
              </c:numCache>
            </c:numRef>
          </c:cat>
          <c:val>
            <c:numRef>
              <c:f>'Worksheet (2)'!$G$5:$G$21</c:f>
              <c:numCache>
                <c:formatCode>_-* #,##0_-;\-* #,##0_-;_-* "-"??_-;_-@_-</c:formatCode>
                <c:ptCount val="17"/>
                <c:pt idx="0">
                  <c:v>11724473</c:v>
                </c:pt>
                <c:pt idx="1">
                  <c:v>11316636</c:v>
                </c:pt>
                <c:pt idx="2">
                  <c:v>10915955</c:v>
                </c:pt>
                <c:pt idx="3">
                  <c:v>11320674</c:v>
                </c:pt>
                <c:pt idx="4">
                  <c:v>11622609</c:v>
                </c:pt>
                <c:pt idx="5">
                  <c:v>12057355</c:v>
                </c:pt>
                <c:pt idx="6">
                  <c:v>11681031</c:v>
                </c:pt>
                <c:pt idx="7">
                  <c:v>11771058</c:v>
                </c:pt>
                <c:pt idx="8">
                  <c:v>11911707</c:v>
                </c:pt>
                <c:pt idx="9">
                  <c:v>11569518</c:v>
                </c:pt>
                <c:pt idx="10">
                  <c:v>11302580</c:v>
                </c:pt>
                <c:pt idx="11">
                  <c:v>11847032</c:v>
                </c:pt>
                <c:pt idx="12">
                  <c:v>11860383</c:v>
                </c:pt>
                <c:pt idx="13">
                  <c:v>11899761</c:v>
                </c:pt>
                <c:pt idx="14">
                  <c:v>11955614</c:v>
                </c:pt>
                <c:pt idx="15">
                  <c:v>12123607</c:v>
                </c:pt>
                <c:pt idx="16">
                  <c:v>11994299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05-4808-8324-A90EFADD1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1680160"/>
        <c:axId val="631680520"/>
      </c:barChart>
      <c:dateAx>
        <c:axId val="63168016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80520"/>
        <c:crosses val="autoZero"/>
        <c:auto val="1"/>
        <c:lblOffset val="100"/>
        <c:baseTimeUnit val="days"/>
      </c:dateAx>
      <c:valAx>
        <c:axId val="63168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8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POSISI STOCK WH TML CIK - 2026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Hasil Prod CGL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'Worksheet (2)'!$A$5:$A$21</c:f>
              <c:numCache>
                <c:formatCode>d\-mmm\-yy</c:formatCode>
                <c:ptCount val="17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46272</c:v>
                </c:pt>
                <c:pt idx="6">
                  <c:v>46273</c:v>
                </c:pt>
                <c:pt idx="7">
                  <c:v>46274</c:v>
                </c:pt>
                <c:pt idx="8">
                  <c:v>46275</c:v>
                </c:pt>
                <c:pt idx="9">
                  <c:v>46276</c:v>
                </c:pt>
                <c:pt idx="10">
                  <c:v>46277</c:v>
                </c:pt>
                <c:pt idx="11">
                  <c:v>46279</c:v>
                </c:pt>
                <c:pt idx="12">
                  <c:v>46280</c:v>
                </c:pt>
                <c:pt idx="13">
                  <c:v>46281</c:v>
                </c:pt>
                <c:pt idx="14">
                  <c:v>46282</c:v>
                </c:pt>
                <c:pt idx="15">
                  <c:v>46283</c:v>
                </c:pt>
                <c:pt idx="16">
                  <c:v>46284</c:v>
                </c:pt>
              </c:numCache>
            </c:numRef>
          </c:cat>
          <c:val>
            <c:numRef>
              <c:f>'Worksheet (2)'!$C$5:$C$21</c:f>
              <c:numCache>
                <c:formatCode>_-* #,##0_-;\-* #,##0_-;_-* "-"??_-;_-@_-</c:formatCode>
                <c:ptCount val="17"/>
                <c:pt idx="0">
                  <c:v>219002</c:v>
                </c:pt>
                <c:pt idx="1">
                  <c:v>151150</c:v>
                </c:pt>
                <c:pt idx="2">
                  <c:v>397826</c:v>
                </c:pt>
                <c:pt idx="3">
                  <c:v>1137015</c:v>
                </c:pt>
                <c:pt idx="4">
                  <c:v>653862</c:v>
                </c:pt>
                <c:pt idx="5">
                  <c:v>1224857</c:v>
                </c:pt>
                <c:pt idx="6">
                  <c:v>429891</c:v>
                </c:pt>
                <c:pt idx="7">
                  <c:v>719116</c:v>
                </c:pt>
                <c:pt idx="8">
                  <c:v>962294</c:v>
                </c:pt>
                <c:pt idx="9">
                  <c:v>317240</c:v>
                </c:pt>
                <c:pt idx="10">
                  <c:v>148078</c:v>
                </c:pt>
                <c:pt idx="11">
                  <c:v>1299550</c:v>
                </c:pt>
                <c:pt idx="12">
                  <c:v>735279</c:v>
                </c:pt>
                <c:pt idx="13">
                  <c:v>677058</c:v>
                </c:pt>
                <c:pt idx="14">
                  <c:v>850370</c:v>
                </c:pt>
                <c:pt idx="15">
                  <c:v>1002647</c:v>
                </c:pt>
                <c:pt idx="16">
                  <c:v>731204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BC-4AF9-81A4-43F96B76A1F8}"/>
            </c:ext>
          </c:extLst>
        </c:ser>
        <c:ser>
          <c:idx val="2"/>
          <c:order val="1"/>
          <c:tx>
            <c:v>Pengeluaran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'Worksheet (2)'!$A$5:$A$21</c:f>
              <c:numCache>
                <c:formatCode>d\-mmm\-yy</c:formatCode>
                <c:ptCount val="17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46272</c:v>
                </c:pt>
                <c:pt idx="6">
                  <c:v>46273</c:v>
                </c:pt>
                <c:pt idx="7">
                  <c:v>46274</c:v>
                </c:pt>
                <c:pt idx="8">
                  <c:v>46275</c:v>
                </c:pt>
                <c:pt idx="9">
                  <c:v>46276</c:v>
                </c:pt>
                <c:pt idx="10">
                  <c:v>46277</c:v>
                </c:pt>
                <c:pt idx="11">
                  <c:v>46279</c:v>
                </c:pt>
                <c:pt idx="12">
                  <c:v>46280</c:v>
                </c:pt>
                <c:pt idx="13">
                  <c:v>46281</c:v>
                </c:pt>
                <c:pt idx="14">
                  <c:v>46282</c:v>
                </c:pt>
                <c:pt idx="15">
                  <c:v>46283</c:v>
                </c:pt>
                <c:pt idx="16">
                  <c:v>46284</c:v>
                </c:pt>
              </c:numCache>
            </c:numRef>
          </c:cat>
          <c:val>
            <c:numRef>
              <c:f>'Worksheet (2)'!$F$5:$F$21</c:f>
              <c:numCache>
                <c:formatCode>_-* #,##0_-;\-* #,##0_-;_-* "-"??_-;_-@_-</c:formatCode>
                <c:ptCount val="17"/>
                <c:pt idx="0">
                  <c:v>687962</c:v>
                </c:pt>
                <c:pt idx="1">
                  <c:v>558987</c:v>
                </c:pt>
                <c:pt idx="2">
                  <c:v>798507</c:v>
                </c:pt>
                <c:pt idx="3">
                  <c:v>732296</c:v>
                </c:pt>
                <c:pt idx="4">
                  <c:v>351927</c:v>
                </c:pt>
                <c:pt idx="5">
                  <c:v>790111</c:v>
                </c:pt>
                <c:pt idx="6">
                  <c:v>806215</c:v>
                </c:pt>
                <c:pt idx="7">
                  <c:v>629089</c:v>
                </c:pt>
                <c:pt idx="8">
                  <c:v>821645</c:v>
                </c:pt>
                <c:pt idx="9">
                  <c:v>659429</c:v>
                </c:pt>
                <c:pt idx="10">
                  <c:v>415016</c:v>
                </c:pt>
                <c:pt idx="11">
                  <c:v>755098</c:v>
                </c:pt>
                <c:pt idx="12">
                  <c:v>721928</c:v>
                </c:pt>
                <c:pt idx="13">
                  <c:v>637680</c:v>
                </c:pt>
                <c:pt idx="14">
                  <c:v>794517</c:v>
                </c:pt>
                <c:pt idx="15">
                  <c:v>834654</c:v>
                </c:pt>
                <c:pt idx="16">
                  <c:v>860512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BC-4AF9-81A4-43F96B76A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1680160"/>
        <c:axId val="631680520"/>
      </c:barChart>
      <c:dateAx>
        <c:axId val="63168016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80520"/>
        <c:crosses val="autoZero"/>
        <c:auto val="1"/>
        <c:lblOffset val="100"/>
        <c:baseTimeUnit val="days"/>
      </c:dateAx>
      <c:valAx>
        <c:axId val="631680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68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01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Worksheet!$A$6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Worksheet!$A$1</c:f>
              <c:strCache>
                <c:ptCount val="1"/>
                <c:pt idx="0">
                  <c:v>01-Sep-26</c:v>
                </c:pt>
              </c:strCache>
            </c:strRef>
          </c:cat>
          <c:val>
            <c:numRef>
              <c:f>Worksheet!$B$6</c:f>
              <c:numCache>
                <c:formatCode>_-* #,##0_-;\-* #,##0_-;_-* "-"??_-;_-@_-</c:formatCode>
                <c:ptCount val="1"/>
                <c:pt idx="0">
                  <c:v>11724473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2-4E6E-A343-85C1E93CD3F7}"/>
            </c:ext>
          </c:extLst>
        </c:ser>
        <c:ser>
          <c:idx val="1"/>
          <c:order val="1"/>
          <c:tx>
            <c:strRef>
              <c:f>Worksheet!$A$5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Worksheet!$B$5</c:f>
              <c:numCache>
                <c:formatCode>_-* #,##0_-;\-* #,##0_-;_-* "-"??_-;_-@_-</c:formatCode>
                <c:ptCount val="1"/>
                <c:pt idx="0">
                  <c:v>687962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92-4E6E-A343-85C1E93CD3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02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Worksheet!$A$13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Worksheet!$A$8</c:f>
              <c:strCache>
                <c:ptCount val="1"/>
                <c:pt idx="0">
                  <c:v>02-Sep-26</c:v>
                </c:pt>
              </c:strCache>
            </c:strRef>
          </c:cat>
          <c:val>
            <c:numRef>
              <c:f>Worksheet!$B$13</c:f>
              <c:numCache>
                <c:formatCode>_-* #,##0_-;\-* #,##0_-;_-* "-"??_-;_-@_-</c:formatCode>
                <c:ptCount val="1"/>
                <c:pt idx="0">
                  <c:v>11316636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1-4DF0-92E7-BC5D4C79701C}"/>
            </c:ext>
          </c:extLst>
        </c:ser>
        <c:ser>
          <c:idx val="1"/>
          <c:order val="1"/>
          <c:tx>
            <c:strRef>
              <c:f>Worksheet!$A$12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Worksheet!$B$12</c:f>
              <c:numCache>
                <c:formatCode>_-* #,##0_-;\-* #,##0_-;_-* "-"??_-;_-@_-</c:formatCode>
                <c:ptCount val="1"/>
                <c:pt idx="0">
                  <c:v>558987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1-4DF0-92E7-BC5D4C7970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03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Worksheet!$A$20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Worksheet!$A$15</c:f>
              <c:strCache>
                <c:ptCount val="1"/>
                <c:pt idx="0">
                  <c:v>03-Sep-26</c:v>
                </c:pt>
              </c:strCache>
            </c:strRef>
          </c:cat>
          <c:val>
            <c:numRef>
              <c:f>Worksheet!$B$20</c:f>
              <c:numCache>
                <c:formatCode>_-* #,##0_-;\-* #,##0_-;_-* "-"??_-;_-@_-</c:formatCode>
                <c:ptCount val="1"/>
                <c:pt idx="0">
                  <c:v>10915955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F-40B1-A854-94FC14292F02}"/>
            </c:ext>
          </c:extLst>
        </c:ser>
        <c:ser>
          <c:idx val="1"/>
          <c:order val="1"/>
          <c:tx>
            <c:strRef>
              <c:f>Worksheet!$A$19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Worksheet!$B$19</c:f>
              <c:numCache>
                <c:formatCode>_-* #,##0_-;\-* #,##0_-;_-* "-"??_-;_-@_-</c:formatCode>
                <c:ptCount val="1"/>
                <c:pt idx="0">
                  <c:v>798507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F-40B1-A854-94FC14292F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04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Worksheet!$A$27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Worksheet!$A$22</c:f>
              <c:strCache>
                <c:ptCount val="1"/>
                <c:pt idx="0">
                  <c:v>04-Sep-26</c:v>
                </c:pt>
              </c:strCache>
            </c:strRef>
          </c:cat>
          <c:val>
            <c:numRef>
              <c:f>Worksheet!$B$27</c:f>
              <c:numCache>
                <c:formatCode>_-* #,##0_-;\-* #,##0_-;_-* "-"??_-;_-@_-</c:formatCode>
                <c:ptCount val="1"/>
                <c:pt idx="0">
                  <c:v>11320674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7-452E-A443-3751CD48B4E1}"/>
            </c:ext>
          </c:extLst>
        </c:ser>
        <c:ser>
          <c:idx val="1"/>
          <c:order val="1"/>
          <c:tx>
            <c:strRef>
              <c:f>Worksheet!$A$26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Worksheet!$B$26</c:f>
              <c:numCache>
                <c:formatCode>_-* #,##0_-;\-* #,##0_-;_-* "-"??_-;_-@_-</c:formatCode>
                <c:ptCount val="1"/>
                <c:pt idx="0">
                  <c:v>732296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7-452E-A443-3751CD48B4E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05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Worksheet!$A$34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Worksheet!$A$29</c:f>
              <c:strCache>
                <c:ptCount val="1"/>
                <c:pt idx="0">
                  <c:v>05-Sep-26</c:v>
                </c:pt>
              </c:strCache>
            </c:strRef>
          </c:cat>
          <c:val>
            <c:numRef>
              <c:f>Worksheet!$B$34</c:f>
              <c:numCache>
                <c:formatCode>_-* #,##0_-;\-* #,##0_-;_-* "-"??_-;_-@_-</c:formatCode>
                <c:ptCount val="1"/>
                <c:pt idx="0">
                  <c:v>11622609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A3-41BF-8D49-35F2EC478028}"/>
            </c:ext>
          </c:extLst>
        </c:ser>
        <c:ser>
          <c:idx val="1"/>
          <c:order val="1"/>
          <c:tx>
            <c:strRef>
              <c:f>Worksheet!$A$33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Worksheet!$B$33</c:f>
              <c:numCache>
                <c:formatCode>_-* #,##0_-;\-* #,##0_-;_-* "-"??_-;_-@_-</c:formatCode>
                <c:ptCount val="1"/>
                <c:pt idx="0">
                  <c:v>351927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A3-41BF-8D49-35F2EC4780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07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Worksheet!$A$41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Worksheet!$A$36</c:f>
              <c:strCache>
                <c:ptCount val="1"/>
                <c:pt idx="0">
                  <c:v>07-Sep-26</c:v>
                </c:pt>
              </c:strCache>
            </c:strRef>
          </c:cat>
          <c:val>
            <c:numRef>
              <c:f>Worksheet!$B$41</c:f>
              <c:numCache>
                <c:formatCode>_-* #,##0_-;\-* #,##0_-;_-* "-"??_-;_-@_-</c:formatCode>
                <c:ptCount val="1"/>
                <c:pt idx="0">
                  <c:v>12057355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2-44A0-8F2E-94E660F4AAA0}"/>
            </c:ext>
          </c:extLst>
        </c:ser>
        <c:ser>
          <c:idx val="1"/>
          <c:order val="1"/>
          <c:tx>
            <c:strRef>
              <c:f>Worksheet!$A$40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Worksheet!$B$40</c:f>
              <c:numCache>
                <c:formatCode>_-* #,##0_-;\-* #,##0_-;_-* "-"??_-;_-@_-</c:formatCode>
                <c:ptCount val="1"/>
                <c:pt idx="0">
                  <c:v>790111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A2-44A0-8F2E-94E660F4AA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08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Worksheet!$A$48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Worksheet!$A$43</c:f>
              <c:strCache>
                <c:ptCount val="1"/>
                <c:pt idx="0">
                  <c:v>08-Sep-26</c:v>
                </c:pt>
              </c:strCache>
            </c:strRef>
          </c:cat>
          <c:val>
            <c:numRef>
              <c:f>Worksheet!$B$48</c:f>
              <c:numCache>
                <c:formatCode>_-* #,##0_-;\-* #,##0_-;_-* "-"??_-;_-@_-</c:formatCode>
                <c:ptCount val="1"/>
                <c:pt idx="0">
                  <c:v>11681031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9-447E-A1DC-C5965B938F3C}"/>
            </c:ext>
          </c:extLst>
        </c:ser>
        <c:ser>
          <c:idx val="1"/>
          <c:order val="1"/>
          <c:tx>
            <c:strRef>
              <c:f>Worksheet!$A$47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Worksheet!$B$47</c:f>
              <c:numCache>
                <c:formatCode>_-* #,##0_-;\-* #,##0_-;_-* "-"??_-;_-@_-</c:formatCode>
                <c:ptCount val="1"/>
                <c:pt idx="0">
                  <c:v>806215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9-447E-A1DC-C5965B938F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09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Worksheet!$A$55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Worksheet!$A$50</c:f>
              <c:strCache>
                <c:ptCount val="1"/>
                <c:pt idx="0">
                  <c:v>09-Sep-26</c:v>
                </c:pt>
              </c:strCache>
            </c:strRef>
          </c:cat>
          <c:val>
            <c:numRef>
              <c:f>Worksheet!$B$55</c:f>
              <c:numCache>
                <c:formatCode>_-* #,##0_-;\-* #,##0_-;_-* "-"??_-;_-@_-</c:formatCode>
                <c:ptCount val="1"/>
                <c:pt idx="0">
                  <c:v>11771058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1-4460-AE6B-F973C9196CEC}"/>
            </c:ext>
          </c:extLst>
        </c:ser>
        <c:ser>
          <c:idx val="1"/>
          <c:order val="1"/>
          <c:tx>
            <c:strRef>
              <c:f>Worksheet!$A$54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Worksheet!$B$54</c:f>
              <c:numCache>
                <c:formatCode>_-* #,##0_-;\-* #,##0_-;_-* "-"??_-;_-@_-</c:formatCode>
                <c:ptCount val="1"/>
                <c:pt idx="0">
                  <c:v>629089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01-4460-AE6B-F973C9196C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10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Worksheet!$A$62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Worksheet!$A$57</c:f>
              <c:strCache>
                <c:ptCount val="1"/>
                <c:pt idx="0">
                  <c:v>10-Sep-26</c:v>
                </c:pt>
              </c:strCache>
            </c:strRef>
          </c:cat>
          <c:val>
            <c:numRef>
              <c:f>Worksheet!$B$62</c:f>
              <c:numCache>
                <c:formatCode>_-* #,##0_-;\-* #,##0_-;_-* "-"??_-;_-@_-</c:formatCode>
                <c:ptCount val="1"/>
                <c:pt idx="0">
                  <c:v>11911707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5-433B-81C5-3EC8FD6B93E0}"/>
            </c:ext>
          </c:extLst>
        </c:ser>
        <c:ser>
          <c:idx val="1"/>
          <c:order val="1"/>
          <c:tx>
            <c:strRef>
              <c:f>Worksheet!$A$61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Worksheet!$B$61</c:f>
              <c:numCache>
                <c:formatCode>_-* #,##0_-;\-* #,##0_-;_-* "-"??_-;_-@_-</c:formatCode>
                <c:ptCount val="1"/>
                <c:pt idx="0">
                  <c:v>821645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5-433B-81C5-3EC8FD6B93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11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Worksheet!$A$69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Worksheet!$A$64</c:f>
              <c:strCache>
                <c:ptCount val="1"/>
                <c:pt idx="0">
                  <c:v>11-Sep-26</c:v>
                </c:pt>
              </c:strCache>
            </c:strRef>
          </c:cat>
          <c:val>
            <c:numRef>
              <c:f>Worksheet!$B$69</c:f>
              <c:numCache>
                <c:formatCode>_-* #,##0_-;\-* #,##0_-;_-* "-"??_-;_-@_-</c:formatCode>
                <c:ptCount val="1"/>
                <c:pt idx="0">
                  <c:v>11569518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6-45B8-B6D1-9A19E003746D}"/>
            </c:ext>
          </c:extLst>
        </c:ser>
        <c:ser>
          <c:idx val="1"/>
          <c:order val="1"/>
          <c:tx>
            <c:strRef>
              <c:f>Worksheet!$A$68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Worksheet!$B$68</c:f>
              <c:numCache>
                <c:formatCode>_-* #,##0_-;\-* #,##0_-;_-* "-"??_-;_-@_-</c:formatCode>
                <c:ptCount val="1"/>
                <c:pt idx="0">
                  <c:v>659429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26-45B8-B6D1-9A19E00374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12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Worksheet!$A$76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Worksheet!$A$71</c:f>
              <c:strCache>
                <c:ptCount val="1"/>
                <c:pt idx="0">
                  <c:v>12-Sep-26</c:v>
                </c:pt>
              </c:strCache>
            </c:strRef>
          </c:cat>
          <c:val>
            <c:numRef>
              <c:f>Worksheet!$B$76</c:f>
              <c:numCache>
                <c:formatCode>_-* #,##0_-;\-* #,##0_-;_-* "-"??_-;_-@_-</c:formatCode>
                <c:ptCount val="1"/>
                <c:pt idx="0">
                  <c:v>11302580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0-4F01-93E2-980754642733}"/>
            </c:ext>
          </c:extLst>
        </c:ser>
        <c:ser>
          <c:idx val="1"/>
          <c:order val="1"/>
          <c:tx>
            <c:strRef>
              <c:f>Worksheet!$A$75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Worksheet!$B$75</c:f>
              <c:numCache>
                <c:formatCode>_-* #,##0_-;\-* #,##0_-;_-* "-"??_-;_-@_-</c:formatCode>
                <c:ptCount val="1"/>
                <c:pt idx="0">
                  <c:v>415016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0-4F01-93E2-9807546427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14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Worksheet!$A$83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Worksheet!$A$78</c:f>
              <c:strCache>
                <c:ptCount val="1"/>
                <c:pt idx="0">
                  <c:v>14-Sep-26</c:v>
                </c:pt>
              </c:strCache>
            </c:strRef>
          </c:cat>
          <c:val>
            <c:numRef>
              <c:f>Worksheet!$B$83</c:f>
              <c:numCache>
                <c:formatCode>_-* #,##0_-;\-* #,##0_-;_-* "-"??_-;_-@_-</c:formatCode>
                <c:ptCount val="1"/>
                <c:pt idx="0">
                  <c:v>11847032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4-44AF-8AAF-A82DFB13EE34}"/>
            </c:ext>
          </c:extLst>
        </c:ser>
        <c:ser>
          <c:idx val="1"/>
          <c:order val="1"/>
          <c:tx>
            <c:strRef>
              <c:f>Worksheet!$A$82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Worksheet!$B$82</c:f>
              <c:numCache>
                <c:formatCode>_-* #,##0_-;\-* #,##0_-;_-* "-"??_-;_-@_-</c:formatCode>
                <c:ptCount val="1"/>
                <c:pt idx="0">
                  <c:v>755098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14-44AF-8AAF-A82DFB13EE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15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Worksheet!$A$90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Worksheet!$A$85</c:f>
              <c:strCache>
                <c:ptCount val="1"/>
                <c:pt idx="0">
                  <c:v>15-Sep-26</c:v>
                </c:pt>
              </c:strCache>
            </c:strRef>
          </c:cat>
          <c:val>
            <c:numRef>
              <c:f>Worksheet!$B$90</c:f>
              <c:numCache>
                <c:formatCode>_-* #,##0_-;\-* #,##0_-;_-* "-"??_-;_-@_-</c:formatCode>
                <c:ptCount val="1"/>
                <c:pt idx="0">
                  <c:v>11860383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2-46C8-9A00-DD9FB5917169}"/>
            </c:ext>
          </c:extLst>
        </c:ser>
        <c:ser>
          <c:idx val="1"/>
          <c:order val="1"/>
          <c:tx>
            <c:strRef>
              <c:f>Worksheet!$A$89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Worksheet!$B$89</c:f>
              <c:numCache>
                <c:formatCode>_-* #,##0_-;\-* #,##0_-;_-* "-"??_-;_-@_-</c:formatCode>
                <c:ptCount val="1"/>
                <c:pt idx="0">
                  <c:v>721928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2-46C8-9A00-DD9FB59171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16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Worksheet!$A$97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Worksheet!$A$92</c:f>
              <c:strCache>
                <c:ptCount val="1"/>
                <c:pt idx="0">
                  <c:v>16-Sep-26</c:v>
                </c:pt>
              </c:strCache>
            </c:strRef>
          </c:cat>
          <c:val>
            <c:numRef>
              <c:f>Worksheet!$B$97</c:f>
              <c:numCache>
                <c:formatCode>_-* #,##0_-;\-* #,##0_-;_-* "-"??_-;_-@_-</c:formatCode>
                <c:ptCount val="1"/>
                <c:pt idx="0">
                  <c:v>11899761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6-4BCE-9875-A0BACDCE9F55}"/>
            </c:ext>
          </c:extLst>
        </c:ser>
        <c:ser>
          <c:idx val="1"/>
          <c:order val="1"/>
          <c:tx>
            <c:strRef>
              <c:f>Worksheet!$A$96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Worksheet!$B$96</c:f>
              <c:numCache>
                <c:formatCode>_-* #,##0_-;\-* #,##0_-;_-* "-"??_-;_-@_-</c:formatCode>
                <c:ptCount val="1"/>
                <c:pt idx="0">
                  <c:v>637680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E6-4BCE-9875-A0BACDCE9F5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17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Worksheet!$A$104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Worksheet!$A$99</c:f>
              <c:strCache>
                <c:ptCount val="1"/>
                <c:pt idx="0">
                  <c:v>17-Sep-26</c:v>
                </c:pt>
              </c:strCache>
            </c:strRef>
          </c:cat>
          <c:val>
            <c:numRef>
              <c:f>Worksheet!$B$104</c:f>
              <c:numCache>
                <c:formatCode>_-* #,##0_-;\-* #,##0_-;_-* "-"??_-;_-@_-</c:formatCode>
                <c:ptCount val="1"/>
                <c:pt idx="0">
                  <c:v>11955614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4-4E0F-9DC5-A2BB83D74CC1}"/>
            </c:ext>
          </c:extLst>
        </c:ser>
        <c:ser>
          <c:idx val="1"/>
          <c:order val="1"/>
          <c:tx>
            <c:strRef>
              <c:f>Worksheet!$A$103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Worksheet!$B$103</c:f>
              <c:numCache>
                <c:formatCode>_-* #,##0_-;\-* #,##0_-;_-* "-"??_-;_-@_-</c:formatCode>
                <c:ptCount val="1"/>
                <c:pt idx="0">
                  <c:v>794517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4-4E0F-9DC5-A2BB83D74CC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18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Worksheet!$A$111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Worksheet!$A$106</c:f>
              <c:strCache>
                <c:ptCount val="1"/>
                <c:pt idx="0">
                  <c:v>18-Sep-26</c:v>
                </c:pt>
              </c:strCache>
            </c:strRef>
          </c:cat>
          <c:val>
            <c:numRef>
              <c:f>Worksheet!$B$111</c:f>
              <c:numCache>
                <c:formatCode>_-* #,##0_-;\-* #,##0_-;_-* "-"??_-;_-@_-</c:formatCode>
                <c:ptCount val="1"/>
                <c:pt idx="0">
                  <c:v>12123607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9-4F1B-80A8-E3C8DCBC8287}"/>
            </c:ext>
          </c:extLst>
        </c:ser>
        <c:ser>
          <c:idx val="1"/>
          <c:order val="1"/>
          <c:tx>
            <c:strRef>
              <c:f>Worksheet!$A$110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Worksheet!$B$110</c:f>
              <c:numCache>
                <c:formatCode>_-* #,##0_-;\-* #,##0_-;_-* "-"??_-;_-@_-</c:formatCode>
                <c:ptCount val="1"/>
                <c:pt idx="0">
                  <c:v>834654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19-4F1B-80A8-E3C8DCBC82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19 Sep 2026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Worksheet!$A$118</c:f>
              <c:strCache>
                <c:ptCount val="1"/>
                <c:pt idx="0">
                  <c:v>Sisa stock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Worksheet!$A$113</c:f>
              <c:strCache>
                <c:ptCount val="1"/>
                <c:pt idx="0">
                  <c:v>19-Sep-26</c:v>
                </c:pt>
              </c:strCache>
            </c:strRef>
          </c:cat>
          <c:val>
            <c:numRef>
              <c:f>Worksheet!$B$118</c:f>
              <c:numCache>
                <c:formatCode>_-* #,##0_-;\-* #,##0_-;_-* "-"??_-;_-@_-</c:formatCode>
                <c:ptCount val="1"/>
                <c:pt idx="0">
                  <c:v>11994299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FB-47C2-9B66-2A75290ECA37}"/>
            </c:ext>
          </c:extLst>
        </c:ser>
        <c:ser>
          <c:idx val="1"/>
          <c:order val="1"/>
          <c:tx>
            <c:strRef>
              <c:f>Worksheet!$A$117</c:f>
              <c:strCache>
                <c:ptCount val="1"/>
                <c:pt idx="0">
                  <c:v>Total pengeluaran</c:v>
                </c:pt>
              </c:strCache>
            </c:strRef>
          </c:tx>
          <c:spPr>
            <a:ln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Worksheet!$B$117</c:f>
              <c:numCache>
                <c:formatCode>_-* #,##0_-;\-* #,##0_-;_-* "-"??_-;_-@_-</c:formatCode>
                <c:ptCount val="1"/>
                <c:pt idx="0">
                  <c:v>860512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FB-47C2-9B66-2A75290ECA3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  <c:noMultiLvlLbl val="0"/>
      </c:catAx>
      <c:valAx>
        <c:axId val="110444544"/>
        <c:scaling>
          <c:orientation val="minMax"/>
        </c:scaling>
        <c:delete val="0"/>
        <c:axPos val="l"/>
        <c:numFmt formatCode="_-* #,##0_-;\-* #,##0_-;_-* &quot;-&quot;??_-;_-@_-" sourceLinked="1"/>
        <c:majorTickMark val="none"/>
        <c:minorTickMark val="none"/>
        <c:tickLblPos val="nextTo"/>
        <c:spPr>
          <a:ln/>
        </c:spPr>
        <c:crossAx val="110438656"/>
        <c:crosses val="autoZero"/>
        <c:crossBetween val="between"/>
      </c:valAx>
    </c:plotArea>
    <c:legend>
      <c:legendPos val="b"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460374</xdr:colOff>
      <xdr:row>22</xdr:row>
      <xdr:rowOff>136525</xdr:rowOff>
    </xdr:from>
    <xdr:to>
      <xdr:col>8</xdr:col>
      <xdr:colOff>342899</xdr:colOff>
      <xdr:row>37</xdr:row>
      <xdr:rowOff>117475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4204E94-2B5A-4EBF-25FD-92A873B50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425450</xdr:colOff>
      <xdr:row>39</xdr:row>
      <xdr:rowOff>12700</xdr:rowOff>
    </xdr:from>
    <xdr:to>
      <xdr:col>8</xdr:col>
      <xdr:colOff>307975</xdr:colOff>
      <xdr:row>53</xdr:row>
      <xdr:rowOff>177800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3EA06B5-6FFF-4D55-92F3-0C176D274B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95250</xdr:colOff>
      <xdr:row>6</xdr:row>
      <xdr:rowOff>95250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7</xdr:row>
      <xdr:rowOff>0</xdr:rowOff>
    </xdr:from>
    <xdr:to>
      <xdr:col>9</xdr:col>
      <xdr:colOff>95250</xdr:colOff>
      <xdr:row>13</xdr:row>
      <xdr:rowOff>95250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14</xdr:row>
      <xdr:rowOff>0</xdr:rowOff>
    </xdr:from>
    <xdr:to>
      <xdr:col>9</xdr:col>
      <xdr:colOff>95250</xdr:colOff>
      <xdr:row>20</xdr:row>
      <xdr:rowOff>95250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9</xdr:col>
      <xdr:colOff>95250</xdr:colOff>
      <xdr:row>27</xdr:row>
      <xdr:rowOff>95250</xdr:rowOff>
    </xdr:to>
    <xdr:graphicFrame macro="">
      <xdr:nvGraphicFramePr>
        <xdr:cNvPr id="4100" name="Chart 4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28</xdr:row>
      <xdr:rowOff>0</xdr:rowOff>
    </xdr:from>
    <xdr:to>
      <xdr:col>9</xdr:col>
      <xdr:colOff>95250</xdr:colOff>
      <xdr:row>34</xdr:row>
      <xdr:rowOff>95250</xdr:rowOff>
    </xdr:to>
    <xdr:graphicFrame macro="">
      <xdr:nvGraphicFramePr>
        <xdr:cNvPr id="5125" name="Chart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35</xdr:row>
      <xdr:rowOff>0</xdr:rowOff>
    </xdr:from>
    <xdr:to>
      <xdr:col>9</xdr:col>
      <xdr:colOff>95250</xdr:colOff>
      <xdr:row>41</xdr:row>
      <xdr:rowOff>95250</xdr:rowOff>
    </xdr:to>
    <xdr:graphicFrame macro="">
      <xdr:nvGraphicFramePr>
        <xdr:cNvPr id="6150" name="Chart 6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42</xdr:row>
      <xdr:rowOff>0</xdr:rowOff>
    </xdr:from>
    <xdr:to>
      <xdr:col>9</xdr:col>
      <xdr:colOff>95250</xdr:colOff>
      <xdr:row>48</xdr:row>
      <xdr:rowOff>95250</xdr:rowOff>
    </xdr:to>
    <xdr:graphicFrame macro="">
      <xdr:nvGraphicFramePr>
        <xdr:cNvPr id="7175" name="Chart 7">
          <a:extLst>
            <a:ext uri="{FF2B5EF4-FFF2-40B4-BE49-F238E27FC236}">
              <a16:creationId xmlns:a16="http://schemas.microsoft.com/office/drawing/2014/main" id="{00000000-0008-0000-0000-0000071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49</xdr:row>
      <xdr:rowOff>0</xdr:rowOff>
    </xdr:from>
    <xdr:to>
      <xdr:col>9</xdr:col>
      <xdr:colOff>95250</xdr:colOff>
      <xdr:row>55</xdr:row>
      <xdr:rowOff>95250</xdr:rowOff>
    </xdr:to>
    <xdr:graphicFrame macro="">
      <xdr:nvGraphicFramePr>
        <xdr:cNvPr id="8200" name="Chart 8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0</xdr:colOff>
      <xdr:row>56</xdr:row>
      <xdr:rowOff>0</xdr:rowOff>
    </xdr:from>
    <xdr:to>
      <xdr:col>9</xdr:col>
      <xdr:colOff>95250</xdr:colOff>
      <xdr:row>62</xdr:row>
      <xdr:rowOff>95250</xdr:rowOff>
    </xdr:to>
    <xdr:graphicFrame macro="">
      <xdr:nvGraphicFramePr>
        <xdr:cNvPr id="9225" name="Chart 9">
          <a:extLst>
            <a:ext uri="{FF2B5EF4-FFF2-40B4-BE49-F238E27FC236}">
              <a16:creationId xmlns:a16="http://schemas.microsoft.com/office/drawing/2014/main" id="{00000000-0008-0000-0000-0000092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63</xdr:row>
      <xdr:rowOff>0</xdr:rowOff>
    </xdr:from>
    <xdr:to>
      <xdr:col>9</xdr:col>
      <xdr:colOff>95250</xdr:colOff>
      <xdr:row>69</xdr:row>
      <xdr:rowOff>95250</xdr:rowOff>
    </xdr:to>
    <xdr:graphicFrame macro="">
      <xdr:nvGraphicFramePr>
        <xdr:cNvPr id="10250" name="Chart 10">
          <a:extLst>
            <a:ext uri="{FF2B5EF4-FFF2-40B4-BE49-F238E27FC236}">
              <a16:creationId xmlns:a16="http://schemas.microsoft.com/office/drawing/2014/main" id="{00000000-0008-0000-0000-00000A2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70</xdr:row>
      <xdr:rowOff>0</xdr:rowOff>
    </xdr:from>
    <xdr:to>
      <xdr:col>9</xdr:col>
      <xdr:colOff>95250</xdr:colOff>
      <xdr:row>76</xdr:row>
      <xdr:rowOff>95250</xdr:rowOff>
    </xdr:to>
    <xdr:graphicFrame macro="">
      <xdr:nvGraphicFramePr>
        <xdr:cNvPr id="11275" name="Chart 11">
          <a:extLst>
            <a:ext uri="{FF2B5EF4-FFF2-40B4-BE49-F238E27FC236}">
              <a16:creationId xmlns:a16="http://schemas.microsoft.com/office/drawing/2014/main" id="{00000000-0008-0000-0000-00000B2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0</xdr:colOff>
      <xdr:row>77</xdr:row>
      <xdr:rowOff>0</xdr:rowOff>
    </xdr:from>
    <xdr:to>
      <xdr:col>9</xdr:col>
      <xdr:colOff>95250</xdr:colOff>
      <xdr:row>83</xdr:row>
      <xdr:rowOff>95250</xdr:rowOff>
    </xdr:to>
    <xdr:graphicFrame macro="">
      <xdr:nvGraphicFramePr>
        <xdr:cNvPr id="12300" name="Chart 12">
          <a:extLst>
            <a:ext uri="{FF2B5EF4-FFF2-40B4-BE49-F238E27FC236}">
              <a16:creationId xmlns:a16="http://schemas.microsoft.com/office/drawing/2014/main" id="{00000000-0008-0000-0000-00000C3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9</xdr:col>
      <xdr:colOff>95250</xdr:colOff>
      <xdr:row>90</xdr:row>
      <xdr:rowOff>95250</xdr:rowOff>
    </xdr:to>
    <xdr:graphicFrame macro="">
      <xdr:nvGraphicFramePr>
        <xdr:cNvPr id="13325" name="Chart 13">
          <a:extLst>
            <a:ext uri="{FF2B5EF4-FFF2-40B4-BE49-F238E27FC236}">
              <a16:creationId xmlns:a16="http://schemas.microsoft.com/office/drawing/2014/main" id="{00000000-0008-0000-0000-00000D3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0</xdr:colOff>
      <xdr:row>91</xdr:row>
      <xdr:rowOff>0</xdr:rowOff>
    </xdr:from>
    <xdr:to>
      <xdr:col>9</xdr:col>
      <xdr:colOff>95250</xdr:colOff>
      <xdr:row>97</xdr:row>
      <xdr:rowOff>95250</xdr:rowOff>
    </xdr:to>
    <xdr:graphicFrame macro="">
      <xdr:nvGraphicFramePr>
        <xdr:cNvPr id="14350" name="Chart 14">
          <a:extLst>
            <a:ext uri="{FF2B5EF4-FFF2-40B4-BE49-F238E27FC236}">
              <a16:creationId xmlns:a16="http://schemas.microsoft.com/office/drawing/2014/main" id="{00000000-0008-0000-0000-00000E3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0</xdr:colOff>
      <xdr:row>98</xdr:row>
      <xdr:rowOff>0</xdr:rowOff>
    </xdr:from>
    <xdr:to>
      <xdr:col>9</xdr:col>
      <xdr:colOff>95250</xdr:colOff>
      <xdr:row>104</xdr:row>
      <xdr:rowOff>95250</xdr:rowOff>
    </xdr:to>
    <xdr:graphicFrame macro="">
      <xdr:nvGraphicFramePr>
        <xdr:cNvPr id="15375" name="Chart 15">
          <a:extLst>
            <a:ext uri="{FF2B5EF4-FFF2-40B4-BE49-F238E27FC236}">
              <a16:creationId xmlns:a16="http://schemas.microsoft.com/office/drawing/2014/main" id="{00000000-0008-0000-0000-00000F3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0</xdr:colOff>
      <xdr:row>105</xdr:row>
      <xdr:rowOff>0</xdr:rowOff>
    </xdr:from>
    <xdr:to>
      <xdr:col>9</xdr:col>
      <xdr:colOff>95250</xdr:colOff>
      <xdr:row>111</xdr:row>
      <xdr:rowOff>95250</xdr:rowOff>
    </xdr:to>
    <xdr:graphicFrame macro="">
      <xdr:nvGraphicFramePr>
        <xdr:cNvPr id="16400" name="Chart 16">
          <a:extLst>
            <a:ext uri="{FF2B5EF4-FFF2-40B4-BE49-F238E27FC236}">
              <a16:creationId xmlns:a16="http://schemas.microsoft.com/office/drawing/2014/main" id="{00000000-0008-0000-0000-0000104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0</xdr:colOff>
      <xdr:row>112</xdr:row>
      <xdr:rowOff>0</xdr:rowOff>
    </xdr:from>
    <xdr:to>
      <xdr:col>9</xdr:col>
      <xdr:colOff>95250</xdr:colOff>
      <xdr:row>118</xdr:row>
      <xdr:rowOff>95250</xdr:rowOff>
    </xdr:to>
    <xdr:graphicFrame macro="">
      <xdr:nvGraphicFramePr>
        <xdr:cNvPr id="17425" name="Chart 17">
          <a:extLst>
            <a:ext uri="{FF2B5EF4-FFF2-40B4-BE49-F238E27FC236}">
              <a16:creationId xmlns:a16="http://schemas.microsoft.com/office/drawing/2014/main" id="{00000000-0008-0000-0000-0000114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8B78-CC71-4613-915A-B73033DAF9BE}">
  <dimension ref="A1:G21"/>
  <sheetViews>
    <sheetView tabSelected="1" workbookViewId="0">
      <selection activeCell="B6" sqref="B6"/>
    </sheetView>
  </sheetViews>
  <sheetFormatPr defaultRowHeight="14.5" x14ac:dyDescent="0.35"/>
  <cols>
    <col min="1" max="1" width="14.36328125" customWidth="1"/>
    <col min="2" max="2" width="13.81640625" style="3" bestFit="1" customWidth="1"/>
    <col min="3" max="3" width="13.90625" customWidth="1"/>
    <col min="4" max="6" width="14.6328125" customWidth="1"/>
    <col min="7" max="7" width="15.6328125" customWidth="1"/>
  </cols>
  <sheetData>
    <row r="1" spans="1:7" ht="22" customHeight="1" x14ac:dyDescent="0.45">
      <c r="A1" s="13" t="s">
        <v>30</v>
      </c>
    </row>
    <row r="3" spans="1:7" s="6" customFormat="1" x14ac:dyDescent="0.35">
      <c r="A3" s="15" t="s">
        <v>24</v>
      </c>
      <c r="B3" s="17" t="s">
        <v>22</v>
      </c>
      <c r="C3" s="15" t="s">
        <v>25</v>
      </c>
      <c r="D3" s="14" t="s">
        <v>26</v>
      </c>
      <c r="E3" s="14"/>
      <c r="F3" s="19" t="s">
        <v>29</v>
      </c>
      <c r="G3" s="15" t="s">
        <v>23</v>
      </c>
    </row>
    <row r="4" spans="1:7" x14ac:dyDescent="0.35">
      <c r="A4" s="16"/>
      <c r="B4" s="18"/>
      <c r="C4" s="16"/>
      <c r="D4" s="12" t="s">
        <v>27</v>
      </c>
      <c r="E4" s="12" t="s">
        <v>28</v>
      </c>
      <c r="F4" s="20"/>
      <c r="G4" s="16"/>
    </row>
    <row r="5" spans="1:7" x14ac:dyDescent="0.35">
      <c r="A5" s="10">
        <v>46266</v>
      </c>
      <c r="B5" s="7">
        <v>12193433</v>
      </c>
      <c r="C5" s="7">
        <v>219002</v>
      </c>
      <c r="D5" s="7">
        <v>665618</v>
      </c>
      <c r="E5" s="7">
        <v>22344</v>
      </c>
      <c r="F5" s="8">
        <f>D5+E5</f>
        <v>687962</v>
      </c>
      <c r="G5" s="9">
        <f>(B5+C5)-F5</f>
        <v>11724473</v>
      </c>
    </row>
    <row r="6" spans="1:7" x14ac:dyDescent="0.35">
      <c r="A6" s="10">
        <v>46267</v>
      </c>
      <c r="B6" s="7">
        <f>G5</f>
        <v>11724473</v>
      </c>
      <c r="C6" s="7">
        <v>151150</v>
      </c>
      <c r="D6" s="7">
        <v>390347</v>
      </c>
      <c r="E6" s="7">
        <v>168640</v>
      </c>
      <c r="F6" s="8">
        <f t="shared" ref="F6:F14" si="0">D6+E6</f>
        <v>558987</v>
      </c>
      <c r="G6" s="9">
        <f t="shared" ref="G6:G14" si="1">(B6+C6)-F6</f>
        <v>11316636</v>
      </c>
    </row>
    <row r="7" spans="1:7" x14ac:dyDescent="0.35">
      <c r="A7" s="10">
        <v>46268</v>
      </c>
      <c r="B7" s="7">
        <f t="shared" ref="B7:B21" si="2">G6</f>
        <v>11316636</v>
      </c>
      <c r="C7" s="7">
        <v>397826</v>
      </c>
      <c r="D7" s="7">
        <v>646894</v>
      </c>
      <c r="E7" s="7">
        <v>151613</v>
      </c>
      <c r="F7" s="8">
        <f t="shared" si="0"/>
        <v>798507</v>
      </c>
      <c r="G7" s="9">
        <f t="shared" si="1"/>
        <v>10915955</v>
      </c>
    </row>
    <row r="8" spans="1:7" x14ac:dyDescent="0.35">
      <c r="A8" s="10">
        <v>46269</v>
      </c>
      <c r="B8" s="7">
        <f t="shared" si="2"/>
        <v>10915955</v>
      </c>
      <c r="C8" s="7">
        <v>1137015</v>
      </c>
      <c r="D8" s="7">
        <v>513374</v>
      </c>
      <c r="E8" s="7">
        <v>218922</v>
      </c>
      <c r="F8" s="8">
        <f t="shared" si="0"/>
        <v>732296</v>
      </c>
      <c r="G8" s="9">
        <f t="shared" si="1"/>
        <v>11320674</v>
      </c>
    </row>
    <row r="9" spans="1:7" x14ac:dyDescent="0.35">
      <c r="A9" s="10">
        <v>46270</v>
      </c>
      <c r="B9" s="7">
        <f t="shared" si="2"/>
        <v>11320674</v>
      </c>
      <c r="C9" s="7">
        <v>653862</v>
      </c>
      <c r="D9" s="7">
        <v>351927</v>
      </c>
      <c r="E9" s="7">
        <v>0</v>
      </c>
      <c r="F9" s="8">
        <f t="shared" si="0"/>
        <v>351927</v>
      </c>
      <c r="G9" s="9">
        <f t="shared" si="1"/>
        <v>11622609</v>
      </c>
    </row>
    <row r="10" spans="1:7" x14ac:dyDescent="0.35">
      <c r="A10" s="10">
        <v>46272</v>
      </c>
      <c r="B10" s="7">
        <f t="shared" si="2"/>
        <v>11622609</v>
      </c>
      <c r="C10" s="7">
        <v>1224857</v>
      </c>
      <c r="D10" s="7">
        <v>637439</v>
      </c>
      <c r="E10" s="7">
        <v>152672</v>
      </c>
      <c r="F10" s="8">
        <f t="shared" si="0"/>
        <v>790111</v>
      </c>
      <c r="G10" s="9">
        <f t="shared" si="1"/>
        <v>12057355</v>
      </c>
    </row>
    <row r="11" spans="1:7" x14ac:dyDescent="0.35">
      <c r="A11" s="10">
        <v>46273</v>
      </c>
      <c r="B11" s="7">
        <f>G10</f>
        <v>12057355</v>
      </c>
      <c r="C11" s="7">
        <v>429891</v>
      </c>
      <c r="D11" s="7">
        <v>589187</v>
      </c>
      <c r="E11" s="7">
        <v>217028</v>
      </c>
      <c r="F11" s="8">
        <f t="shared" si="0"/>
        <v>806215</v>
      </c>
      <c r="G11" s="9">
        <f t="shared" si="1"/>
        <v>11681031</v>
      </c>
    </row>
    <row r="12" spans="1:7" x14ac:dyDescent="0.35">
      <c r="A12" s="10">
        <v>46274</v>
      </c>
      <c r="B12" s="7">
        <f t="shared" si="2"/>
        <v>11681031</v>
      </c>
      <c r="C12" s="7">
        <v>719116</v>
      </c>
      <c r="D12" s="7">
        <v>498445</v>
      </c>
      <c r="E12" s="7">
        <v>130644</v>
      </c>
      <c r="F12" s="8">
        <f t="shared" si="0"/>
        <v>629089</v>
      </c>
      <c r="G12" s="9">
        <f t="shared" si="1"/>
        <v>11771058</v>
      </c>
    </row>
    <row r="13" spans="1:7" x14ac:dyDescent="0.35">
      <c r="A13" s="10">
        <v>46275</v>
      </c>
      <c r="B13" s="7">
        <f t="shared" si="2"/>
        <v>11771058</v>
      </c>
      <c r="C13" s="7">
        <v>962294</v>
      </c>
      <c r="D13" s="7">
        <v>568286</v>
      </c>
      <c r="E13" s="7">
        <v>253359</v>
      </c>
      <c r="F13" s="8">
        <f t="shared" si="0"/>
        <v>821645</v>
      </c>
      <c r="G13" s="9">
        <f t="shared" si="1"/>
        <v>11911707</v>
      </c>
    </row>
    <row r="14" spans="1:7" x14ac:dyDescent="0.35">
      <c r="A14" s="10">
        <v>46276</v>
      </c>
      <c r="B14" s="7">
        <f t="shared" si="2"/>
        <v>11911707</v>
      </c>
      <c r="C14" s="7">
        <v>317240</v>
      </c>
      <c r="D14" s="7">
        <v>500114</v>
      </c>
      <c r="E14" s="7">
        <v>159315</v>
      </c>
      <c r="F14" s="8">
        <f t="shared" si="0"/>
        <v>659429</v>
      </c>
      <c r="G14" s="9">
        <f t="shared" si="1"/>
        <v>11569518</v>
      </c>
    </row>
    <row r="15" spans="1:7" x14ac:dyDescent="0.35">
      <c r="A15" s="10">
        <v>46277</v>
      </c>
      <c r="B15" s="7">
        <f t="shared" si="2"/>
        <v>11569518</v>
      </c>
      <c r="C15" s="7">
        <v>148078</v>
      </c>
      <c r="D15" s="7">
        <v>337990</v>
      </c>
      <c r="E15" s="7">
        <v>77026</v>
      </c>
      <c r="F15" s="8">
        <f t="shared" ref="F15:F21" si="3">D15+E15</f>
        <v>415016</v>
      </c>
      <c r="G15" s="9">
        <f t="shared" ref="G15:G21" si="4">(B15+C15)-F15</f>
        <v>11302580</v>
      </c>
    </row>
    <row r="16" spans="1:7" x14ac:dyDescent="0.35">
      <c r="A16" s="10">
        <v>46279</v>
      </c>
      <c r="B16" s="7">
        <f t="shared" si="2"/>
        <v>11302580</v>
      </c>
      <c r="C16" s="7">
        <v>1299550</v>
      </c>
      <c r="D16" s="7">
        <v>664621</v>
      </c>
      <c r="E16" s="7">
        <v>90477</v>
      </c>
      <c r="F16" s="8">
        <f t="shared" si="3"/>
        <v>755098</v>
      </c>
      <c r="G16" s="9">
        <f t="shared" si="4"/>
        <v>11847032</v>
      </c>
    </row>
    <row r="17" spans="1:7" x14ac:dyDescent="0.35">
      <c r="A17" s="10">
        <v>46280</v>
      </c>
      <c r="B17" s="7">
        <f t="shared" si="2"/>
        <v>11847032</v>
      </c>
      <c r="C17" s="7">
        <v>735279</v>
      </c>
      <c r="D17" s="7">
        <v>692076</v>
      </c>
      <c r="E17" s="7">
        <v>29852</v>
      </c>
      <c r="F17" s="8">
        <f t="shared" si="3"/>
        <v>721928</v>
      </c>
      <c r="G17" s="9">
        <f t="shared" si="4"/>
        <v>11860383</v>
      </c>
    </row>
    <row r="18" spans="1:7" x14ac:dyDescent="0.35">
      <c r="A18" s="10">
        <v>46281</v>
      </c>
      <c r="B18" s="7">
        <f t="shared" si="2"/>
        <v>11860383</v>
      </c>
      <c r="C18" s="7">
        <v>677058</v>
      </c>
      <c r="D18" s="7">
        <v>633939</v>
      </c>
      <c r="E18" s="7">
        <v>3741</v>
      </c>
      <c r="F18" s="8">
        <f t="shared" si="3"/>
        <v>637680</v>
      </c>
      <c r="G18" s="9">
        <f t="shared" si="4"/>
        <v>11899761</v>
      </c>
    </row>
    <row r="19" spans="1:7" x14ac:dyDescent="0.35">
      <c r="A19" s="10">
        <v>46282</v>
      </c>
      <c r="B19" s="7">
        <f t="shared" si="2"/>
        <v>11899761</v>
      </c>
      <c r="C19" s="7">
        <v>850370</v>
      </c>
      <c r="D19" s="7">
        <v>696331</v>
      </c>
      <c r="E19" s="7">
        <v>98186</v>
      </c>
      <c r="F19" s="8">
        <f t="shared" si="3"/>
        <v>794517</v>
      </c>
      <c r="G19" s="9">
        <f t="shared" si="4"/>
        <v>11955614</v>
      </c>
    </row>
    <row r="20" spans="1:7" x14ac:dyDescent="0.35">
      <c r="A20" s="10">
        <v>46283</v>
      </c>
      <c r="B20" s="7">
        <f t="shared" si="2"/>
        <v>11955614</v>
      </c>
      <c r="C20" s="11">
        <v>1002647</v>
      </c>
      <c r="D20" s="11">
        <v>591694</v>
      </c>
      <c r="E20" s="11">
        <v>242960</v>
      </c>
      <c r="F20" s="8">
        <f t="shared" si="3"/>
        <v>834654</v>
      </c>
      <c r="G20" s="9">
        <f t="shared" si="4"/>
        <v>12123607</v>
      </c>
    </row>
    <row r="21" spans="1:7" x14ac:dyDescent="0.35">
      <c r="A21" s="10">
        <v>46284</v>
      </c>
      <c r="B21" s="7">
        <f t="shared" si="2"/>
        <v>12123607</v>
      </c>
      <c r="C21" s="7">
        <v>731204</v>
      </c>
      <c r="D21" s="7">
        <v>588031</v>
      </c>
      <c r="E21" s="7">
        <v>272481</v>
      </c>
      <c r="F21" s="8">
        <f t="shared" si="3"/>
        <v>860512</v>
      </c>
      <c r="G21" s="9">
        <f t="shared" si="4"/>
        <v>11994299</v>
      </c>
    </row>
  </sheetData>
  <mergeCells count="6">
    <mergeCell ref="D3:E3"/>
    <mergeCell ref="A3:A4"/>
    <mergeCell ref="B3:B4"/>
    <mergeCell ref="C3:C4"/>
    <mergeCell ref="G3:G4"/>
    <mergeCell ref="F3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8"/>
  <sheetViews>
    <sheetView topLeftCell="A16" workbookViewId="0">
      <selection activeCell="L18" sqref="L18"/>
    </sheetView>
  </sheetViews>
  <sheetFormatPr defaultRowHeight="14.5" x14ac:dyDescent="0.35"/>
  <cols>
    <col min="1" max="1" width="21.08984375" bestFit="1" customWidth="1"/>
    <col min="2" max="2" width="13.81640625" style="3" bestFit="1" customWidth="1"/>
  </cols>
  <sheetData>
    <row r="1" spans="1:2" x14ac:dyDescent="0.35">
      <c r="A1" s="1" t="s">
        <v>0</v>
      </c>
    </row>
    <row r="2" spans="1:2" x14ac:dyDescent="0.35">
      <c r="A2" t="s">
        <v>1</v>
      </c>
      <c r="B2" s="3">
        <v>219002</v>
      </c>
    </row>
    <row r="3" spans="1:2" x14ac:dyDescent="0.35">
      <c r="A3" t="s">
        <v>2</v>
      </c>
      <c r="B3" s="3">
        <v>665618</v>
      </c>
    </row>
    <row r="4" spans="1:2" x14ac:dyDescent="0.35">
      <c r="A4" t="s">
        <v>3</v>
      </c>
      <c r="B4" s="3">
        <v>22344</v>
      </c>
    </row>
    <row r="5" spans="1:2" x14ac:dyDescent="0.35">
      <c r="A5" s="2" t="s">
        <v>4</v>
      </c>
      <c r="B5" s="4">
        <v>687962</v>
      </c>
    </row>
    <row r="6" spans="1:2" x14ac:dyDescent="0.35">
      <c r="A6" s="1" t="s">
        <v>5</v>
      </c>
      <c r="B6" s="5">
        <v>11724473</v>
      </c>
    </row>
    <row r="8" spans="1:2" x14ac:dyDescent="0.35">
      <c r="A8" s="1" t="s">
        <v>6</v>
      </c>
    </row>
    <row r="9" spans="1:2" x14ac:dyDescent="0.35">
      <c r="A9" t="s">
        <v>1</v>
      </c>
      <c r="B9" s="3">
        <v>151150</v>
      </c>
    </row>
    <row r="10" spans="1:2" x14ac:dyDescent="0.35">
      <c r="A10" t="s">
        <v>2</v>
      </c>
      <c r="B10" s="3">
        <v>390347</v>
      </c>
    </row>
    <row r="11" spans="1:2" x14ac:dyDescent="0.35">
      <c r="A11" t="s">
        <v>3</v>
      </c>
      <c r="B11" s="3">
        <v>168640</v>
      </c>
    </row>
    <row r="12" spans="1:2" x14ac:dyDescent="0.35">
      <c r="A12" s="2" t="s">
        <v>4</v>
      </c>
      <c r="B12" s="4">
        <v>558987</v>
      </c>
    </row>
    <row r="13" spans="1:2" x14ac:dyDescent="0.35">
      <c r="A13" s="1" t="s">
        <v>5</v>
      </c>
      <c r="B13" s="5">
        <v>11316636</v>
      </c>
    </row>
    <row r="15" spans="1:2" x14ac:dyDescent="0.35">
      <c r="A15" s="1" t="s">
        <v>7</v>
      </c>
    </row>
    <row r="16" spans="1:2" x14ac:dyDescent="0.35">
      <c r="A16" t="s">
        <v>1</v>
      </c>
      <c r="B16" s="3">
        <v>397826</v>
      </c>
    </row>
    <row r="17" spans="1:2" x14ac:dyDescent="0.35">
      <c r="A17" t="s">
        <v>2</v>
      </c>
      <c r="B17" s="3">
        <v>646894</v>
      </c>
    </row>
    <row r="18" spans="1:2" x14ac:dyDescent="0.35">
      <c r="A18" t="s">
        <v>3</v>
      </c>
      <c r="B18" s="3">
        <v>151613</v>
      </c>
    </row>
    <row r="19" spans="1:2" x14ac:dyDescent="0.35">
      <c r="A19" s="2" t="s">
        <v>4</v>
      </c>
      <c r="B19" s="4">
        <v>798507</v>
      </c>
    </row>
    <row r="20" spans="1:2" x14ac:dyDescent="0.35">
      <c r="A20" s="1" t="s">
        <v>5</v>
      </c>
      <c r="B20" s="5">
        <v>10915955</v>
      </c>
    </row>
    <row r="22" spans="1:2" x14ac:dyDescent="0.35">
      <c r="A22" s="1" t="s">
        <v>8</v>
      </c>
    </row>
    <row r="23" spans="1:2" x14ac:dyDescent="0.35">
      <c r="A23" t="s">
        <v>1</v>
      </c>
      <c r="B23" s="3">
        <v>1137015</v>
      </c>
    </row>
    <row r="24" spans="1:2" x14ac:dyDescent="0.35">
      <c r="A24" t="s">
        <v>2</v>
      </c>
      <c r="B24" s="3">
        <v>513374</v>
      </c>
    </row>
    <row r="25" spans="1:2" x14ac:dyDescent="0.35">
      <c r="A25" t="s">
        <v>3</v>
      </c>
      <c r="B25" s="3">
        <v>218922</v>
      </c>
    </row>
    <row r="26" spans="1:2" x14ac:dyDescent="0.35">
      <c r="A26" s="2" t="s">
        <v>4</v>
      </c>
      <c r="B26" s="4">
        <v>732296</v>
      </c>
    </row>
    <row r="27" spans="1:2" x14ac:dyDescent="0.35">
      <c r="A27" s="1" t="s">
        <v>5</v>
      </c>
      <c r="B27" s="5">
        <v>11320674</v>
      </c>
    </row>
    <row r="29" spans="1:2" x14ac:dyDescent="0.35">
      <c r="A29" s="1" t="s">
        <v>9</v>
      </c>
    </row>
    <row r="30" spans="1:2" x14ac:dyDescent="0.35">
      <c r="A30" t="s">
        <v>1</v>
      </c>
      <c r="B30" s="3">
        <v>653862</v>
      </c>
    </row>
    <row r="31" spans="1:2" x14ac:dyDescent="0.35">
      <c r="A31" t="s">
        <v>2</v>
      </c>
      <c r="B31" s="3">
        <v>351927</v>
      </c>
    </row>
    <row r="32" spans="1:2" x14ac:dyDescent="0.35">
      <c r="A32" t="s">
        <v>3</v>
      </c>
      <c r="B32" s="3">
        <v>0</v>
      </c>
    </row>
    <row r="33" spans="1:2" x14ac:dyDescent="0.35">
      <c r="A33" s="2" t="s">
        <v>4</v>
      </c>
      <c r="B33" s="4">
        <v>351927</v>
      </c>
    </row>
    <row r="34" spans="1:2" x14ac:dyDescent="0.35">
      <c r="A34" s="1" t="s">
        <v>5</v>
      </c>
      <c r="B34" s="5">
        <v>11622609</v>
      </c>
    </row>
    <row r="36" spans="1:2" x14ac:dyDescent="0.35">
      <c r="A36" s="1" t="s">
        <v>10</v>
      </c>
    </row>
    <row r="37" spans="1:2" x14ac:dyDescent="0.35">
      <c r="A37" t="s">
        <v>1</v>
      </c>
      <c r="B37" s="3">
        <v>1224857</v>
      </c>
    </row>
    <row r="38" spans="1:2" x14ac:dyDescent="0.35">
      <c r="A38" t="s">
        <v>2</v>
      </c>
      <c r="B38" s="3">
        <v>637439</v>
      </c>
    </row>
    <row r="39" spans="1:2" x14ac:dyDescent="0.35">
      <c r="A39" t="s">
        <v>3</v>
      </c>
      <c r="B39" s="3">
        <v>152672</v>
      </c>
    </row>
    <row r="40" spans="1:2" x14ac:dyDescent="0.35">
      <c r="A40" s="2" t="s">
        <v>4</v>
      </c>
      <c r="B40" s="4">
        <v>790111</v>
      </c>
    </row>
    <row r="41" spans="1:2" x14ac:dyDescent="0.35">
      <c r="A41" s="1" t="s">
        <v>5</v>
      </c>
      <c r="B41" s="5">
        <v>12057355</v>
      </c>
    </row>
    <row r="43" spans="1:2" x14ac:dyDescent="0.35">
      <c r="A43" s="1" t="s">
        <v>11</v>
      </c>
    </row>
    <row r="44" spans="1:2" x14ac:dyDescent="0.35">
      <c r="A44" t="s">
        <v>1</v>
      </c>
      <c r="B44" s="3">
        <v>429891</v>
      </c>
    </row>
    <row r="45" spans="1:2" x14ac:dyDescent="0.35">
      <c r="A45" t="s">
        <v>2</v>
      </c>
      <c r="B45" s="3">
        <v>589187</v>
      </c>
    </row>
    <row r="46" spans="1:2" x14ac:dyDescent="0.35">
      <c r="A46" t="s">
        <v>3</v>
      </c>
      <c r="B46" s="3">
        <v>217028</v>
      </c>
    </row>
    <row r="47" spans="1:2" x14ac:dyDescent="0.35">
      <c r="A47" s="2" t="s">
        <v>4</v>
      </c>
      <c r="B47" s="4">
        <v>806215</v>
      </c>
    </row>
    <row r="48" spans="1:2" x14ac:dyDescent="0.35">
      <c r="A48" s="1" t="s">
        <v>5</v>
      </c>
      <c r="B48" s="5">
        <v>11681031</v>
      </c>
    </row>
    <row r="50" spans="1:2" x14ac:dyDescent="0.35">
      <c r="A50" s="1" t="s">
        <v>12</v>
      </c>
    </row>
    <row r="51" spans="1:2" x14ac:dyDescent="0.35">
      <c r="A51" t="s">
        <v>1</v>
      </c>
      <c r="B51" s="3">
        <v>719116</v>
      </c>
    </row>
    <row r="52" spans="1:2" x14ac:dyDescent="0.35">
      <c r="A52" t="s">
        <v>2</v>
      </c>
      <c r="B52" s="3">
        <v>498445</v>
      </c>
    </row>
    <row r="53" spans="1:2" x14ac:dyDescent="0.35">
      <c r="A53" t="s">
        <v>3</v>
      </c>
      <c r="B53" s="3">
        <v>130644</v>
      </c>
    </row>
    <row r="54" spans="1:2" x14ac:dyDescent="0.35">
      <c r="A54" s="2" t="s">
        <v>4</v>
      </c>
      <c r="B54" s="4">
        <v>629089</v>
      </c>
    </row>
    <row r="55" spans="1:2" x14ac:dyDescent="0.35">
      <c r="A55" s="1" t="s">
        <v>5</v>
      </c>
      <c r="B55" s="5">
        <v>11771058</v>
      </c>
    </row>
    <row r="57" spans="1:2" x14ac:dyDescent="0.35">
      <c r="A57" s="1" t="s">
        <v>13</v>
      </c>
    </row>
    <row r="58" spans="1:2" x14ac:dyDescent="0.35">
      <c r="A58" t="s">
        <v>1</v>
      </c>
      <c r="B58" s="3">
        <v>962294</v>
      </c>
    </row>
    <row r="59" spans="1:2" x14ac:dyDescent="0.35">
      <c r="A59" t="s">
        <v>2</v>
      </c>
      <c r="B59" s="3">
        <v>568286</v>
      </c>
    </row>
    <row r="60" spans="1:2" x14ac:dyDescent="0.35">
      <c r="A60" t="s">
        <v>3</v>
      </c>
      <c r="B60" s="3">
        <v>253359</v>
      </c>
    </row>
    <row r="61" spans="1:2" x14ac:dyDescent="0.35">
      <c r="A61" s="2" t="s">
        <v>4</v>
      </c>
      <c r="B61" s="4">
        <v>821645</v>
      </c>
    </row>
    <row r="62" spans="1:2" x14ac:dyDescent="0.35">
      <c r="A62" s="1" t="s">
        <v>5</v>
      </c>
      <c r="B62" s="5">
        <v>11911707</v>
      </c>
    </row>
    <row r="64" spans="1:2" x14ac:dyDescent="0.35">
      <c r="A64" s="1" t="s">
        <v>14</v>
      </c>
    </row>
    <row r="65" spans="1:2" x14ac:dyDescent="0.35">
      <c r="A65" t="s">
        <v>1</v>
      </c>
      <c r="B65" s="3">
        <v>317240</v>
      </c>
    </row>
    <row r="66" spans="1:2" x14ac:dyDescent="0.35">
      <c r="A66" t="s">
        <v>2</v>
      </c>
      <c r="B66" s="3">
        <v>500114</v>
      </c>
    </row>
    <row r="67" spans="1:2" x14ac:dyDescent="0.35">
      <c r="A67" t="s">
        <v>3</v>
      </c>
      <c r="B67" s="3">
        <v>159315</v>
      </c>
    </row>
    <row r="68" spans="1:2" x14ac:dyDescent="0.35">
      <c r="A68" s="2" t="s">
        <v>4</v>
      </c>
      <c r="B68" s="4">
        <v>659429</v>
      </c>
    </row>
    <row r="69" spans="1:2" x14ac:dyDescent="0.35">
      <c r="A69" s="1" t="s">
        <v>5</v>
      </c>
      <c r="B69" s="5">
        <v>11569518</v>
      </c>
    </row>
    <row r="71" spans="1:2" x14ac:dyDescent="0.35">
      <c r="A71" s="1" t="s">
        <v>15</v>
      </c>
    </row>
    <row r="72" spans="1:2" x14ac:dyDescent="0.35">
      <c r="A72" t="s">
        <v>1</v>
      </c>
      <c r="B72" s="3">
        <v>148078</v>
      </c>
    </row>
    <row r="73" spans="1:2" x14ac:dyDescent="0.35">
      <c r="A73" t="s">
        <v>2</v>
      </c>
      <c r="B73" s="3">
        <v>337990</v>
      </c>
    </row>
    <row r="74" spans="1:2" x14ac:dyDescent="0.35">
      <c r="A74" t="s">
        <v>3</v>
      </c>
      <c r="B74" s="3">
        <v>77026</v>
      </c>
    </row>
    <row r="75" spans="1:2" x14ac:dyDescent="0.35">
      <c r="A75" s="2" t="s">
        <v>4</v>
      </c>
      <c r="B75" s="4">
        <v>415016</v>
      </c>
    </row>
    <row r="76" spans="1:2" x14ac:dyDescent="0.35">
      <c r="A76" s="1" t="s">
        <v>5</v>
      </c>
      <c r="B76" s="5">
        <v>11302580</v>
      </c>
    </row>
    <row r="78" spans="1:2" x14ac:dyDescent="0.35">
      <c r="A78" s="1" t="s">
        <v>16</v>
      </c>
    </row>
    <row r="79" spans="1:2" x14ac:dyDescent="0.35">
      <c r="A79" t="s">
        <v>1</v>
      </c>
      <c r="B79" s="3">
        <v>1299550</v>
      </c>
    </row>
    <row r="80" spans="1:2" x14ac:dyDescent="0.35">
      <c r="A80" t="s">
        <v>2</v>
      </c>
      <c r="B80" s="3">
        <v>664621</v>
      </c>
    </row>
    <row r="81" spans="1:2" x14ac:dyDescent="0.35">
      <c r="A81" t="s">
        <v>3</v>
      </c>
      <c r="B81" s="3">
        <v>90477</v>
      </c>
    </row>
    <row r="82" spans="1:2" x14ac:dyDescent="0.35">
      <c r="A82" s="2" t="s">
        <v>4</v>
      </c>
      <c r="B82" s="4">
        <v>755098</v>
      </c>
    </row>
    <row r="83" spans="1:2" x14ac:dyDescent="0.35">
      <c r="A83" s="1" t="s">
        <v>5</v>
      </c>
      <c r="B83" s="5">
        <v>11847032</v>
      </c>
    </row>
    <row r="85" spans="1:2" x14ac:dyDescent="0.35">
      <c r="A85" s="1" t="s">
        <v>17</v>
      </c>
    </row>
    <row r="86" spans="1:2" x14ac:dyDescent="0.35">
      <c r="A86" t="s">
        <v>1</v>
      </c>
      <c r="B86" s="3">
        <v>735279</v>
      </c>
    </row>
    <row r="87" spans="1:2" x14ac:dyDescent="0.35">
      <c r="A87" t="s">
        <v>2</v>
      </c>
      <c r="B87" s="3">
        <v>692076</v>
      </c>
    </row>
    <row r="88" spans="1:2" x14ac:dyDescent="0.35">
      <c r="A88" t="s">
        <v>3</v>
      </c>
      <c r="B88" s="3">
        <v>29852</v>
      </c>
    </row>
    <row r="89" spans="1:2" x14ac:dyDescent="0.35">
      <c r="A89" s="2" t="s">
        <v>4</v>
      </c>
      <c r="B89" s="4">
        <v>721928</v>
      </c>
    </row>
    <row r="90" spans="1:2" x14ac:dyDescent="0.35">
      <c r="A90" s="1" t="s">
        <v>5</v>
      </c>
      <c r="B90" s="5">
        <v>11860383</v>
      </c>
    </row>
    <row r="92" spans="1:2" x14ac:dyDescent="0.35">
      <c r="A92" s="1" t="s">
        <v>18</v>
      </c>
    </row>
    <row r="93" spans="1:2" x14ac:dyDescent="0.35">
      <c r="A93" t="s">
        <v>1</v>
      </c>
      <c r="B93" s="3">
        <v>677058</v>
      </c>
    </row>
    <row r="94" spans="1:2" x14ac:dyDescent="0.35">
      <c r="A94" t="s">
        <v>2</v>
      </c>
      <c r="B94" s="3">
        <v>633939</v>
      </c>
    </row>
    <row r="95" spans="1:2" x14ac:dyDescent="0.35">
      <c r="A95" t="s">
        <v>3</v>
      </c>
      <c r="B95" s="3">
        <v>3741</v>
      </c>
    </row>
    <row r="96" spans="1:2" x14ac:dyDescent="0.35">
      <c r="A96" s="2" t="s">
        <v>4</v>
      </c>
      <c r="B96" s="4">
        <v>637680</v>
      </c>
    </row>
    <row r="97" spans="1:2" x14ac:dyDescent="0.35">
      <c r="A97" s="1" t="s">
        <v>5</v>
      </c>
      <c r="B97" s="5">
        <v>11899761</v>
      </c>
    </row>
    <row r="99" spans="1:2" x14ac:dyDescent="0.35">
      <c r="A99" s="1" t="s">
        <v>19</v>
      </c>
    </row>
    <row r="100" spans="1:2" x14ac:dyDescent="0.35">
      <c r="A100" t="s">
        <v>1</v>
      </c>
      <c r="B100" s="3">
        <v>850370</v>
      </c>
    </row>
    <row r="101" spans="1:2" x14ac:dyDescent="0.35">
      <c r="A101" t="s">
        <v>2</v>
      </c>
      <c r="B101" s="3">
        <v>696331</v>
      </c>
    </row>
    <row r="102" spans="1:2" x14ac:dyDescent="0.35">
      <c r="A102" t="s">
        <v>3</v>
      </c>
      <c r="B102" s="3">
        <v>98186</v>
      </c>
    </row>
    <row r="103" spans="1:2" x14ac:dyDescent="0.35">
      <c r="A103" s="2" t="s">
        <v>4</v>
      </c>
      <c r="B103" s="4">
        <v>794517</v>
      </c>
    </row>
    <row r="104" spans="1:2" x14ac:dyDescent="0.35">
      <c r="A104" s="1" t="s">
        <v>5</v>
      </c>
      <c r="B104" s="5">
        <v>11955614</v>
      </c>
    </row>
    <row r="106" spans="1:2" x14ac:dyDescent="0.35">
      <c r="A106" s="1" t="s">
        <v>20</v>
      </c>
    </row>
    <row r="107" spans="1:2" x14ac:dyDescent="0.35">
      <c r="A107" t="s">
        <v>1</v>
      </c>
      <c r="B107" s="3">
        <v>1002647</v>
      </c>
    </row>
    <row r="108" spans="1:2" x14ac:dyDescent="0.35">
      <c r="A108" t="s">
        <v>2</v>
      </c>
      <c r="B108" s="3">
        <v>591694</v>
      </c>
    </row>
    <row r="109" spans="1:2" x14ac:dyDescent="0.35">
      <c r="A109" t="s">
        <v>3</v>
      </c>
      <c r="B109" s="3">
        <v>242960</v>
      </c>
    </row>
    <row r="110" spans="1:2" x14ac:dyDescent="0.35">
      <c r="A110" s="2" t="s">
        <v>4</v>
      </c>
      <c r="B110" s="4">
        <v>834654</v>
      </c>
    </row>
    <row r="111" spans="1:2" x14ac:dyDescent="0.35">
      <c r="A111" s="1" t="s">
        <v>5</v>
      </c>
      <c r="B111" s="5">
        <v>12123607</v>
      </c>
    </row>
    <row r="113" spans="1:2" x14ac:dyDescent="0.35">
      <c r="A113" s="1" t="s">
        <v>21</v>
      </c>
    </row>
    <row r="114" spans="1:2" x14ac:dyDescent="0.35">
      <c r="A114" t="s">
        <v>1</v>
      </c>
      <c r="B114" s="3">
        <v>731204</v>
      </c>
    </row>
    <row r="115" spans="1:2" x14ac:dyDescent="0.35">
      <c r="A115" t="s">
        <v>2</v>
      </c>
      <c r="B115" s="3">
        <v>588031</v>
      </c>
    </row>
    <row r="116" spans="1:2" x14ac:dyDescent="0.35">
      <c r="A116" t="s">
        <v>3</v>
      </c>
      <c r="B116" s="3">
        <v>272481</v>
      </c>
    </row>
    <row r="117" spans="1:2" x14ac:dyDescent="0.35">
      <c r="A117" s="2" t="s">
        <v>4</v>
      </c>
      <c r="B117" s="4">
        <v>860512</v>
      </c>
    </row>
    <row r="118" spans="1:2" x14ac:dyDescent="0.35">
      <c r="A118" s="1" t="s">
        <v>5</v>
      </c>
      <c r="B118" s="5">
        <v>11994299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 (2)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Brigitta Maria Suharwati</cp:lastModifiedBy>
  <dcterms:created xsi:type="dcterms:W3CDTF">2026-09-21T08:52:30Z</dcterms:created>
  <dcterms:modified xsi:type="dcterms:W3CDTF">2026-09-22T04:41:29Z</dcterms:modified>
  <cp:category/>
</cp:coreProperties>
</file>