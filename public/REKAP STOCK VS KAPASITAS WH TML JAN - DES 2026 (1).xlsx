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Prista\TATA METAL\LAPORAN STOCK\DATA MONTHLY IBU\REKAP STOCK VS KAPASITAS STOCK WH TML\2026\"/>
    </mc:Choice>
  </mc:AlternateContent>
  <xr:revisionPtr revIDLastSave="0" documentId="13_ncr:1_{66B5DCAB-21A6-4259-9BF7-F23599656129}" xr6:coauthVersionLast="47" xr6:coauthVersionMax="47" xr10:uidLastSave="{00000000-0000-0000-0000-000000000000}"/>
  <bookViews>
    <workbookView xWindow="-120" yWindow="-120" windowWidth="20730" windowHeight="11040" tabRatio="676" firstSheet="7" activeTab="13" xr2:uid="{00000000-000D-0000-FFFF-FFFF00000000}"/>
  </bookViews>
  <sheets>
    <sheet name="JAN" sheetId="111" r:id="rId1"/>
    <sheet name="KAPASITAS JAN" sheetId="112" r:id="rId2"/>
    <sheet name="FEB" sheetId="113" r:id="rId3"/>
    <sheet name="KAPASITAS FEB" sheetId="114" r:id="rId4"/>
    <sheet name="MAR" sheetId="115" r:id="rId5"/>
    <sheet name="KAPASITAS MAR" sheetId="116" r:id="rId6"/>
    <sheet name="APR" sheetId="117" r:id="rId7"/>
    <sheet name="KAPASITAS APR" sheetId="118" r:id="rId8"/>
    <sheet name="MEI" sheetId="119" r:id="rId9"/>
    <sheet name="KAPASITAS MEI" sheetId="120" r:id="rId10"/>
    <sheet name="JUNI" sheetId="121" r:id="rId11"/>
    <sheet name="KAPASITAS JUNI" sheetId="122" r:id="rId12"/>
    <sheet name="JULI" sheetId="123" r:id="rId13"/>
    <sheet name="KAPASITAS JULI" sheetId="12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124" l="1"/>
  <c r="B55" i="124"/>
  <c r="C56" i="124" l="1"/>
  <c r="B54" i="124"/>
  <c r="B53" i="124"/>
  <c r="C22" i="124"/>
  <c r="B22" i="124"/>
  <c r="B21" i="124"/>
  <c r="C21" i="124" l="1"/>
  <c r="C55" i="124"/>
  <c r="C54" i="124"/>
  <c r="C53" i="124"/>
  <c r="C52" i="124"/>
  <c r="B52" i="124"/>
  <c r="C20" i="124"/>
  <c r="C19" i="124"/>
  <c r="C18" i="124"/>
  <c r="B20" i="124"/>
  <c r="B19" i="124"/>
  <c r="B18" i="124"/>
  <c r="C51" i="124" l="1"/>
  <c r="C50" i="124"/>
  <c r="B51" i="124"/>
  <c r="B50" i="124"/>
  <c r="B49" i="124"/>
  <c r="B48" i="124"/>
  <c r="B47" i="124"/>
  <c r="B46" i="124"/>
  <c r="C17" i="124"/>
  <c r="C16" i="124"/>
  <c r="B17" i="124"/>
  <c r="B16" i="124"/>
  <c r="B15" i="124"/>
  <c r="B14" i="124"/>
  <c r="B13" i="124"/>
  <c r="B12" i="124"/>
  <c r="C49" i="124" l="1"/>
  <c r="C65" i="124" s="1"/>
  <c r="C15" i="124"/>
  <c r="C14" i="124"/>
  <c r="C13" i="124"/>
  <c r="C12" i="124"/>
  <c r="B65" i="124"/>
  <c r="E65" i="124"/>
  <c r="E31" i="124"/>
  <c r="B45" i="124"/>
  <c r="B44" i="124"/>
  <c r="C48" i="124" l="1"/>
  <c r="C47" i="124"/>
  <c r="C46" i="124"/>
  <c r="C45" i="124"/>
  <c r="C11" i="124"/>
  <c r="B11" i="124"/>
  <c r="B10" i="124"/>
  <c r="B43" i="124" l="1"/>
  <c r="B42" i="124" l="1"/>
  <c r="B41" i="124"/>
  <c r="C44" i="124" l="1"/>
  <c r="C10" i="124"/>
  <c r="B9" i="124"/>
  <c r="B8" i="124"/>
  <c r="B7" i="124"/>
  <c r="B6" i="124"/>
  <c r="B5" i="124"/>
  <c r="C9" i="124" l="1"/>
  <c r="C8" i="124"/>
  <c r="C7" i="124"/>
  <c r="C6" i="124"/>
  <c r="C5" i="124"/>
  <c r="C43" i="124"/>
  <c r="C42" i="124"/>
  <c r="C41" i="124"/>
  <c r="C40" i="124"/>
  <c r="B40" i="124"/>
  <c r="C39" i="124"/>
  <c r="B39" i="124"/>
  <c r="C38" i="124" l="1"/>
  <c r="B38" i="124"/>
  <c r="C4" i="124"/>
  <c r="B4" i="124"/>
  <c r="C31" i="124" l="1"/>
  <c r="B31" i="124"/>
  <c r="D28" i="122"/>
  <c r="C28" i="122"/>
  <c r="B28" i="122"/>
  <c r="D59" i="122"/>
  <c r="C59" i="122"/>
  <c r="B59" i="122"/>
  <c r="F59" i="122"/>
  <c r="E59" i="122"/>
  <c r="C58" i="122"/>
  <c r="B58" i="122"/>
  <c r="F28" i="122"/>
  <c r="E28" i="122"/>
  <c r="C27" i="122"/>
  <c r="B27" i="122"/>
  <c r="C57" i="122" l="1"/>
  <c r="B57" i="122"/>
  <c r="C26" i="122"/>
  <c r="B26" i="122"/>
  <c r="D64" i="124" l="1"/>
  <c r="F64" i="124" s="1"/>
  <c r="D63" i="124"/>
  <c r="F63" i="124" s="1"/>
  <c r="D62" i="124"/>
  <c r="F62" i="124" s="1"/>
  <c r="D30" i="124"/>
  <c r="F30" i="124" s="1"/>
  <c r="D29" i="124"/>
  <c r="F29" i="124" s="1"/>
  <c r="D28" i="124"/>
  <c r="F28" i="124" s="1"/>
  <c r="AD6" i="123"/>
  <c r="AD7" i="123"/>
  <c r="AD8" i="123"/>
  <c r="AD9" i="123"/>
  <c r="AD10" i="123"/>
  <c r="AD11" i="123"/>
  <c r="AD12" i="123"/>
  <c r="AD13" i="123"/>
  <c r="AD14" i="123"/>
  <c r="AD15" i="123"/>
  <c r="AD16" i="123"/>
  <c r="AD17" i="123"/>
  <c r="AD18" i="123"/>
  <c r="AD19" i="123"/>
  <c r="AD20" i="123"/>
  <c r="AD21" i="123"/>
  <c r="AD22" i="123"/>
  <c r="AD23" i="123"/>
  <c r="AD24" i="123"/>
  <c r="AD25" i="123"/>
  <c r="AD5" i="123"/>
  <c r="D61" i="124"/>
  <c r="F61" i="124" s="1"/>
  <c r="D60" i="124"/>
  <c r="F60" i="124" s="1"/>
  <c r="D59" i="124"/>
  <c r="F59" i="124" s="1"/>
  <c r="D58" i="124"/>
  <c r="F58" i="124" s="1"/>
  <c r="J57" i="124"/>
  <c r="J58" i="124" s="1"/>
  <c r="D57" i="124"/>
  <c r="F57" i="124" s="1"/>
  <c r="D56" i="124"/>
  <c r="F56" i="124" s="1"/>
  <c r="D55" i="124"/>
  <c r="F55" i="124" s="1"/>
  <c r="D54" i="124"/>
  <c r="F54" i="124" s="1"/>
  <c r="D53" i="124"/>
  <c r="F53" i="124" s="1"/>
  <c r="D52" i="124"/>
  <c r="F52" i="124" s="1"/>
  <c r="D51" i="124"/>
  <c r="F51" i="124" s="1"/>
  <c r="D50" i="124"/>
  <c r="F50" i="124" s="1"/>
  <c r="D49" i="124"/>
  <c r="D48" i="124"/>
  <c r="F48" i="124" s="1"/>
  <c r="D47" i="124"/>
  <c r="F47" i="124" s="1"/>
  <c r="D46" i="124"/>
  <c r="F46" i="124" s="1"/>
  <c r="D45" i="124"/>
  <c r="F45" i="124" s="1"/>
  <c r="D44" i="124"/>
  <c r="F44" i="124" s="1"/>
  <c r="D43" i="124"/>
  <c r="F43" i="124" s="1"/>
  <c r="D42" i="124"/>
  <c r="F42" i="124" s="1"/>
  <c r="D41" i="124"/>
  <c r="F41" i="124" s="1"/>
  <c r="D40" i="124"/>
  <c r="F40" i="124" s="1"/>
  <c r="D39" i="124"/>
  <c r="F39" i="124" s="1"/>
  <c r="C66" i="124"/>
  <c r="B66" i="124"/>
  <c r="C32" i="124"/>
  <c r="D27" i="124"/>
  <c r="F27" i="124" s="1"/>
  <c r="D26" i="124"/>
  <c r="F26" i="124" s="1"/>
  <c r="D25" i="124"/>
  <c r="F25" i="124" s="1"/>
  <c r="D24" i="124"/>
  <c r="F24" i="124" s="1"/>
  <c r="D23" i="124"/>
  <c r="F23" i="124" s="1"/>
  <c r="J22" i="124"/>
  <c r="J23" i="124" s="1"/>
  <c r="D22" i="124"/>
  <c r="F22" i="124" s="1"/>
  <c r="D21" i="124"/>
  <c r="F21" i="124" s="1"/>
  <c r="D20" i="124"/>
  <c r="F20" i="124" s="1"/>
  <c r="D19" i="124"/>
  <c r="F19" i="124" s="1"/>
  <c r="D18" i="124"/>
  <c r="F18" i="124" s="1"/>
  <c r="D17" i="124"/>
  <c r="F17" i="124" s="1"/>
  <c r="D16" i="124"/>
  <c r="F16" i="124" s="1"/>
  <c r="D15" i="124"/>
  <c r="F15" i="124" s="1"/>
  <c r="D14" i="124"/>
  <c r="F14" i="124" s="1"/>
  <c r="D13" i="124"/>
  <c r="F13" i="124" s="1"/>
  <c r="D12" i="124"/>
  <c r="D11" i="124"/>
  <c r="F11" i="124" s="1"/>
  <c r="D10" i="124"/>
  <c r="F10" i="124" s="1"/>
  <c r="D9" i="124"/>
  <c r="F9" i="124" s="1"/>
  <c r="D8" i="124"/>
  <c r="F8" i="124" s="1"/>
  <c r="D7" i="124"/>
  <c r="F7" i="124" s="1"/>
  <c r="D6" i="124"/>
  <c r="F6" i="124" s="1"/>
  <c r="D5" i="124"/>
  <c r="F5" i="124" s="1"/>
  <c r="D4" i="124"/>
  <c r="F4" i="124" s="1"/>
  <c r="B55" i="122"/>
  <c r="F49" i="124" l="1"/>
  <c r="F65" i="124" s="1"/>
  <c r="D65" i="124"/>
  <c r="F12" i="124"/>
  <c r="F31" i="124" s="1"/>
  <c r="D31" i="124"/>
  <c r="B32" i="124"/>
  <c r="D32" i="124"/>
  <c r="F32" i="124" s="1"/>
  <c r="D38" i="124"/>
  <c r="B56" i="122"/>
  <c r="C56" i="122"/>
  <c r="C55" i="122"/>
  <c r="C25" i="122"/>
  <c r="C24" i="122"/>
  <c r="B25" i="122"/>
  <c r="B24" i="122"/>
  <c r="D66" i="124" l="1"/>
  <c r="F66" i="124" s="1"/>
  <c r="F38" i="124"/>
  <c r="C54" i="122"/>
  <c r="B54" i="122"/>
  <c r="B53" i="122"/>
  <c r="B52" i="122"/>
  <c r="C23" i="122"/>
  <c r="B23" i="122"/>
  <c r="B22" i="122"/>
  <c r="B21" i="122"/>
  <c r="C53" i="122" l="1"/>
  <c r="C52" i="122"/>
  <c r="C21" i="122"/>
  <c r="C22" i="122"/>
  <c r="C51" i="122"/>
  <c r="B51" i="122"/>
  <c r="C20" i="122"/>
  <c r="B20" i="122"/>
  <c r="C50" i="122" l="1"/>
  <c r="B50" i="122"/>
  <c r="C19" i="122"/>
  <c r="B19" i="122"/>
  <c r="C49" i="122" l="1"/>
  <c r="C48" i="122"/>
  <c r="B49" i="122"/>
  <c r="B48" i="122"/>
  <c r="C18" i="122"/>
  <c r="C17" i="122"/>
  <c r="B18" i="122"/>
  <c r="B17" i="122"/>
  <c r="B47" i="122" l="1"/>
  <c r="C47" i="122" l="1"/>
  <c r="C16" i="122"/>
  <c r="B16" i="122"/>
  <c r="C46" i="122" l="1"/>
  <c r="B46" i="122"/>
  <c r="C15" i="122"/>
  <c r="B15" i="122"/>
  <c r="C45" i="122" l="1"/>
  <c r="C44" i="122"/>
  <c r="C43" i="122"/>
  <c r="B45" i="122"/>
  <c r="B44" i="122"/>
  <c r="B43" i="122"/>
  <c r="C14" i="122"/>
  <c r="C13" i="122"/>
  <c r="C12" i="122"/>
  <c r="B14" i="122"/>
  <c r="B13" i="122"/>
  <c r="B12" i="122"/>
  <c r="C42" i="122" l="1"/>
  <c r="C41" i="122"/>
  <c r="C40" i="122"/>
  <c r="C39" i="122"/>
  <c r="C38" i="122"/>
  <c r="B42" i="122"/>
  <c r="B41" i="122"/>
  <c r="B40" i="122"/>
  <c r="B39" i="122"/>
  <c r="B38" i="122"/>
  <c r="C11" i="122"/>
  <c r="C10" i="122"/>
  <c r="C9" i="122"/>
  <c r="C8" i="122"/>
  <c r="C7" i="122"/>
  <c r="B11" i="122"/>
  <c r="B10" i="122"/>
  <c r="B9" i="122"/>
  <c r="B8" i="122"/>
  <c r="B7" i="122"/>
  <c r="C37" i="122" l="1"/>
  <c r="C36" i="122"/>
  <c r="C35" i="122"/>
  <c r="B37" i="122"/>
  <c r="B36" i="122"/>
  <c r="B35" i="122"/>
  <c r="C6" i="122"/>
  <c r="C5" i="122"/>
  <c r="C4" i="122"/>
  <c r="B6" i="122"/>
  <c r="B5" i="122"/>
  <c r="B4" i="122"/>
  <c r="B56" i="120" l="1"/>
  <c r="B55" i="120"/>
  <c r="B26" i="120"/>
  <c r="B25" i="120"/>
  <c r="C56" i="120" l="1"/>
  <c r="C55" i="120"/>
  <c r="C54" i="120"/>
  <c r="B54" i="120"/>
  <c r="B53" i="120"/>
  <c r="C26" i="120"/>
  <c r="C25" i="120"/>
  <c r="C24" i="120"/>
  <c r="B24" i="120"/>
  <c r="B23" i="120"/>
  <c r="D58" i="122" l="1"/>
  <c r="F58" i="122" s="1"/>
  <c r="D27" i="122"/>
  <c r="F27" i="122" s="1"/>
  <c r="D57" i="122"/>
  <c r="F57" i="122" s="1"/>
  <c r="D56" i="122"/>
  <c r="F56" i="122" s="1"/>
  <c r="D55" i="122"/>
  <c r="F55" i="122" s="1"/>
  <c r="J54" i="122"/>
  <c r="J55" i="122" s="1"/>
  <c r="D54" i="122"/>
  <c r="F54" i="122" s="1"/>
  <c r="D53" i="122"/>
  <c r="F53" i="122" s="1"/>
  <c r="D52" i="122"/>
  <c r="F52" i="122" s="1"/>
  <c r="D51" i="122"/>
  <c r="F51" i="122" s="1"/>
  <c r="D50" i="122"/>
  <c r="F50" i="122" s="1"/>
  <c r="D49" i="122"/>
  <c r="F49" i="122" s="1"/>
  <c r="D48" i="122"/>
  <c r="F48" i="122" s="1"/>
  <c r="D47" i="122"/>
  <c r="F47" i="122" s="1"/>
  <c r="D46" i="122"/>
  <c r="F46" i="122" s="1"/>
  <c r="D45" i="122"/>
  <c r="F45" i="122" s="1"/>
  <c r="D44" i="122"/>
  <c r="F44" i="122" s="1"/>
  <c r="D43" i="122"/>
  <c r="F43" i="122" s="1"/>
  <c r="D42" i="122"/>
  <c r="F42" i="122" s="1"/>
  <c r="D41" i="122"/>
  <c r="F41" i="122" s="1"/>
  <c r="D40" i="122"/>
  <c r="F40" i="122" s="1"/>
  <c r="D39" i="122"/>
  <c r="F39" i="122" s="1"/>
  <c r="D38" i="122"/>
  <c r="F38" i="122" s="1"/>
  <c r="D37" i="122"/>
  <c r="F37" i="122" s="1"/>
  <c r="D36" i="122"/>
  <c r="F36" i="122" s="1"/>
  <c r="C60" i="122"/>
  <c r="B60" i="122"/>
  <c r="D26" i="122"/>
  <c r="F26" i="122" s="1"/>
  <c r="D25" i="122"/>
  <c r="F25" i="122" s="1"/>
  <c r="D24" i="122"/>
  <c r="F24" i="122" s="1"/>
  <c r="D23" i="122"/>
  <c r="F23" i="122" s="1"/>
  <c r="J22" i="122"/>
  <c r="J23" i="122" s="1"/>
  <c r="D22" i="122"/>
  <c r="F22" i="122" s="1"/>
  <c r="D21" i="122"/>
  <c r="F21" i="122" s="1"/>
  <c r="D20" i="122"/>
  <c r="F20" i="122" s="1"/>
  <c r="D19" i="122"/>
  <c r="F19" i="122" s="1"/>
  <c r="D18" i="122"/>
  <c r="F18" i="122" s="1"/>
  <c r="D17" i="122"/>
  <c r="F17" i="122" s="1"/>
  <c r="D16" i="122"/>
  <c r="F16" i="122" s="1"/>
  <c r="D15" i="122"/>
  <c r="F15" i="122" s="1"/>
  <c r="D14" i="122"/>
  <c r="F14" i="122" s="1"/>
  <c r="D13" i="122"/>
  <c r="F13" i="122" s="1"/>
  <c r="D12" i="122"/>
  <c r="F12" i="122" s="1"/>
  <c r="D11" i="122"/>
  <c r="F11" i="122" s="1"/>
  <c r="D10" i="122"/>
  <c r="F10" i="122" s="1"/>
  <c r="D9" i="122"/>
  <c r="F9" i="122" s="1"/>
  <c r="D8" i="122"/>
  <c r="F8" i="122" s="1"/>
  <c r="D7" i="122"/>
  <c r="F7" i="122" s="1"/>
  <c r="D6" i="122"/>
  <c r="F6" i="122" s="1"/>
  <c r="D5" i="122"/>
  <c r="F5" i="122" s="1"/>
  <c r="C29" i="122"/>
  <c r="B29" i="122"/>
  <c r="AA25" i="121"/>
  <c r="AA24" i="121"/>
  <c r="AA23" i="121"/>
  <c r="AA22" i="121"/>
  <c r="AA21" i="121"/>
  <c r="AA20" i="121"/>
  <c r="AA19" i="121"/>
  <c r="AA18" i="121"/>
  <c r="AA17" i="121"/>
  <c r="AA16" i="121"/>
  <c r="AA15" i="121"/>
  <c r="AA14" i="121"/>
  <c r="AA13" i="121"/>
  <c r="AA12" i="121"/>
  <c r="AA11" i="121"/>
  <c r="AA10" i="121"/>
  <c r="AA9" i="121"/>
  <c r="AA8" i="121"/>
  <c r="AA7" i="121"/>
  <c r="AA6" i="121"/>
  <c r="AA5" i="121"/>
  <c r="B52" i="120"/>
  <c r="B51" i="120"/>
  <c r="D4" i="122" l="1"/>
  <c r="D35" i="122"/>
  <c r="C23" i="120"/>
  <c r="C53" i="120"/>
  <c r="C52" i="120"/>
  <c r="C51" i="120"/>
  <c r="C50" i="120"/>
  <c r="B50" i="120"/>
  <c r="C22" i="120"/>
  <c r="C21" i="120"/>
  <c r="C20" i="120"/>
  <c r="B22" i="120"/>
  <c r="B21" i="120"/>
  <c r="B20" i="120"/>
  <c r="D60" i="122" l="1"/>
  <c r="F60" i="122" s="1"/>
  <c r="F35" i="122"/>
  <c r="D29" i="122"/>
  <c r="F29" i="122" s="1"/>
  <c r="F4" i="122"/>
  <c r="C49" i="120"/>
  <c r="C48" i="120"/>
  <c r="C47" i="120"/>
  <c r="B49" i="120"/>
  <c r="B48" i="120"/>
  <c r="B47" i="120"/>
  <c r="C19" i="120" l="1"/>
  <c r="C18" i="120"/>
  <c r="C17" i="120"/>
  <c r="B19" i="120"/>
  <c r="B18" i="120"/>
  <c r="B17" i="120"/>
  <c r="C46" i="120" l="1"/>
  <c r="C45" i="120"/>
  <c r="B46" i="120"/>
  <c r="B45" i="120"/>
  <c r="C16" i="120"/>
  <c r="C15" i="120"/>
  <c r="B16" i="120"/>
  <c r="B15" i="120"/>
  <c r="C44" i="120" l="1"/>
  <c r="C43" i="120"/>
  <c r="C42" i="120"/>
  <c r="B44" i="120"/>
  <c r="B43" i="120"/>
  <c r="B42" i="120"/>
  <c r="C14" i="120"/>
  <c r="C13" i="120"/>
  <c r="C12" i="120"/>
  <c r="B14" i="120"/>
  <c r="B13" i="120"/>
  <c r="B12" i="120"/>
  <c r="C41" i="120" l="1"/>
  <c r="C40" i="120"/>
  <c r="B41" i="120"/>
  <c r="B40" i="120"/>
  <c r="C11" i="120"/>
  <c r="C10" i="120"/>
  <c r="B11" i="120"/>
  <c r="B10" i="120"/>
  <c r="C39" i="120" l="1"/>
  <c r="B39" i="120"/>
  <c r="C9" i="120"/>
  <c r="B9" i="120"/>
  <c r="C38" i="120" l="1"/>
  <c r="B38" i="120"/>
  <c r="C8" i="120"/>
  <c r="B8" i="120"/>
  <c r="C37" i="120" l="1"/>
  <c r="C36" i="120"/>
  <c r="C35" i="120"/>
  <c r="C34" i="120"/>
  <c r="B37" i="120"/>
  <c r="B36" i="120"/>
  <c r="B35" i="120"/>
  <c r="B34" i="120"/>
  <c r="C7" i="120"/>
  <c r="C6" i="120"/>
  <c r="C5" i="120"/>
  <c r="C4" i="120"/>
  <c r="B7" i="120"/>
  <c r="B6" i="120"/>
  <c r="B5" i="120"/>
  <c r="B4" i="120"/>
  <c r="C60" i="118" l="1"/>
  <c r="C59" i="118"/>
  <c r="C58" i="118"/>
  <c r="B60" i="118"/>
  <c r="B59" i="118"/>
  <c r="B58" i="118"/>
  <c r="C28" i="118"/>
  <c r="C27" i="118"/>
  <c r="C26" i="118"/>
  <c r="B28" i="118"/>
  <c r="B27" i="118"/>
  <c r="B26" i="118"/>
  <c r="E57" i="120" l="1"/>
  <c r="D56" i="120"/>
  <c r="F56" i="120" s="1"/>
  <c r="D55" i="120"/>
  <c r="F55" i="120" s="1"/>
  <c r="D54" i="120"/>
  <c r="F54" i="120" s="1"/>
  <c r="J53" i="120"/>
  <c r="J54" i="120" s="1"/>
  <c r="D53" i="120"/>
  <c r="F53" i="120" s="1"/>
  <c r="D52" i="120"/>
  <c r="F52" i="120" s="1"/>
  <c r="D51" i="120"/>
  <c r="F51" i="120" s="1"/>
  <c r="D50" i="120"/>
  <c r="F50" i="120" s="1"/>
  <c r="D49" i="120"/>
  <c r="F49" i="120" s="1"/>
  <c r="D48" i="120"/>
  <c r="F48" i="120" s="1"/>
  <c r="D47" i="120"/>
  <c r="F47" i="120" s="1"/>
  <c r="D46" i="120"/>
  <c r="F46" i="120" s="1"/>
  <c r="D45" i="120"/>
  <c r="F45" i="120" s="1"/>
  <c r="D44" i="120"/>
  <c r="F44" i="120" s="1"/>
  <c r="D43" i="120"/>
  <c r="F43" i="120" s="1"/>
  <c r="D42" i="120"/>
  <c r="F42" i="120" s="1"/>
  <c r="D41" i="120"/>
  <c r="F41" i="120" s="1"/>
  <c r="D40" i="120"/>
  <c r="F40" i="120" s="1"/>
  <c r="D39" i="120"/>
  <c r="F39" i="120" s="1"/>
  <c r="D38" i="120"/>
  <c r="F38" i="120" s="1"/>
  <c r="D37" i="120"/>
  <c r="F37" i="120" s="1"/>
  <c r="D36" i="120"/>
  <c r="F36" i="120" s="1"/>
  <c r="D35" i="120"/>
  <c r="F35" i="120" s="1"/>
  <c r="C58" i="120"/>
  <c r="B58" i="120"/>
  <c r="E27" i="120"/>
  <c r="D26" i="120"/>
  <c r="F26" i="120" s="1"/>
  <c r="D25" i="120"/>
  <c r="F25" i="120" s="1"/>
  <c r="D24" i="120"/>
  <c r="F24" i="120" s="1"/>
  <c r="D23" i="120"/>
  <c r="F23" i="120" s="1"/>
  <c r="J22" i="120"/>
  <c r="J23" i="120" s="1"/>
  <c r="D22" i="120"/>
  <c r="F22" i="120" s="1"/>
  <c r="D21" i="120"/>
  <c r="F21" i="120" s="1"/>
  <c r="D20" i="120"/>
  <c r="F20" i="120" s="1"/>
  <c r="D19" i="120"/>
  <c r="F19" i="120" s="1"/>
  <c r="D18" i="120"/>
  <c r="F18" i="120" s="1"/>
  <c r="D17" i="120"/>
  <c r="F17" i="120" s="1"/>
  <c r="D16" i="120"/>
  <c r="F16" i="120" s="1"/>
  <c r="D15" i="120"/>
  <c r="F15" i="120" s="1"/>
  <c r="D14" i="120"/>
  <c r="F14" i="120" s="1"/>
  <c r="D13" i="120"/>
  <c r="F13" i="120" s="1"/>
  <c r="D12" i="120"/>
  <c r="F12" i="120" s="1"/>
  <c r="D11" i="120"/>
  <c r="F11" i="120" s="1"/>
  <c r="D10" i="120"/>
  <c r="F10" i="120" s="1"/>
  <c r="D9" i="120"/>
  <c r="F9" i="120" s="1"/>
  <c r="D8" i="120"/>
  <c r="F8" i="120" s="1"/>
  <c r="D7" i="120"/>
  <c r="F7" i="120" s="1"/>
  <c r="D6" i="120"/>
  <c r="F6" i="120" s="1"/>
  <c r="B28" i="120"/>
  <c r="D4" i="120"/>
  <c r="B27" i="120"/>
  <c r="Z25" i="119"/>
  <c r="Z24" i="119"/>
  <c r="Z23" i="119"/>
  <c r="Z22" i="119"/>
  <c r="Z21" i="119"/>
  <c r="Z20" i="119"/>
  <c r="Z19" i="119"/>
  <c r="Z18" i="119"/>
  <c r="Z17" i="119"/>
  <c r="Z16" i="119"/>
  <c r="Z15" i="119"/>
  <c r="Z14" i="119"/>
  <c r="Z13" i="119"/>
  <c r="Z12" i="119"/>
  <c r="Z11" i="119"/>
  <c r="Z10" i="119"/>
  <c r="Z9" i="119"/>
  <c r="Z8" i="119"/>
  <c r="Z7" i="119"/>
  <c r="Z6" i="119"/>
  <c r="Z5" i="119"/>
  <c r="C57" i="118"/>
  <c r="B57" i="118"/>
  <c r="C25" i="118"/>
  <c r="B25" i="118"/>
  <c r="F4" i="120" l="1"/>
  <c r="D5" i="120"/>
  <c r="F5" i="120" s="1"/>
  <c r="C28" i="120"/>
  <c r="B57" i="120"/>
  <c r="C57" i="120"/>
  <c r="D34" i="120"/>
  <c r="C27" i="120"/>
  <c r="C56" i="118"/>
  <c r="B56" i="118"/>
  <c r="C24" i="118"/>
  <c r="B24" i="118"/>
  <c r="D58" i="120" l="1"/>
  <c r="F58" i="120" s="1"/>
  <c r="F34" i="120"/>
  <c r="F57" i="120" s="1"/>
  <c r="D57" i="120"/>
  <c r="D28" i="120"/>
  <c r="F28" i="120" s="1"/>
  <c r="D27" i="120"/>
  <c r="F27" i="120"/>
  <c r="C55" i="118"/>
  <c r="C54" i="118"/>
  <c r="B55" i="118"/>
  <c r="B54" i="118"/>
  <c r="B53" i="118"/>
  <c r="B52" i="118"/>
  <c r="C23" i="118"/>
  <c r="C22" i="118"/>
  <c r="B23" i="118"/>
  <c r="B22" i="118"/>
  <c r="B21" i="118"/>
  <c r="B20" i="118"/>
  <c r="C53" i="118" l="1"/>
  <c r="C52" i="118"/>
  <c r="C51" i="118"/>
  <c r="C50" i="118"/>
  <c r="C49" i="118"/>
  <c r="B51" i="118"/>
  <c r="B50" i="118"/>
  <c r="B49" i="118"/>
  <c r="C21" i="118"/>
  <c r="C20" i="118"/>
  <c r="C19" i="118"/>
  <c r="C18" i="118"/>
  <c r="C17" i="118"/>
  <c r="B19" i="118"/>
  <c r="B18" i="118"/>
  <c r="B17" i="118"/>
  <c r="B48" i="118" l="1"/>
  <c r="B47" i="118" l="1"/>
  <c r="C48" i="118" l="1"/>
  <c r="C47" i="118"/>
  <c r="C16" i="118"/>
  <c r="C15" i="118"/>
  <c r="B16" i="118"/>
  <c r="B15" i="118"/>
  <c r="C46" i="118" l="1"/>
  <c r="C45" i="118"/>
  <c r="B46" i="118"/>
  <c r="B45" i="118"/>
  <c r="C14" i="118"/>
  <c r="C13" i="118"/>
  <c r="B14" i="118"/>
  <c r="B13" i="118"/>
  <c r="C44" i="118" l="1"/>
  <c r="C43" i="118"/>
  <c r="B44" i="118"/>
  <c r="B43" i="118"/>
  <c r="C12" i="118"/>
  <c r="C11" i="118"/>
  <c r="B12" i="118"/>
  <c r="B11" i="118"/>
  <c r="C42" i="118" l="1"/>
  <c r="B42" i="118"/>
  <c r="B41" i="118"/>
  <c r="B40" i="118"/>
  <c r="C10" i="118"/>
  <c r="B10" i="118"/>
  <c r="B9" i="118"/>
  <c r="B8" i="118"/>
  <c r="B7" i="118" l="1"/>
  <c r="B6" i="118"/>
  <c r="C9" i="118" l="1"/>
  <c r="C8" i="118"/>
  <c r="C7" i="118"/>
  <c r="C6" i="118"/>
  <c r="C41" i="118"/>
  <c r="C40" i="118"/>
  <c r="C39" i="118"/>
  <c r="C38" i="118"/>
  <c r="C37" i="118"/>
  <c r="B39" i="118"/>
  <c r="B38" i="118"/>
  <c r="B37" i="118"/>
  <c r="C5" i="118"/>
  <c r="B5" i="118"/>
  <c r="C36" i="118" l="1"/>
  <c r="B36" i="118"/>
  <c r="C4" i="118"/>
  <c r="B4" i="118"/>
  <c r="C46" i="116" l="1"/>
  <c r="C45" i="116"/>
  <c r="B46" i="116"/>
  <c r="B45" i="116"/>
  <c r="C21" i="116"/>
  <c r="C20" i="116"/>
  <c r="B21" i="116"/>
  <c r="B20" i="116"/>
  <c r="D51" i="118" l="1"/>
  <c r="F51" i="118" s="1"/>
  <c r="D50" i="118"/>
  <c r="F50" i="118" s="1"/>
  <c r="D49" i="118"/>
  <c r="F49" i="118" s="1"/>
  <c r="D48" i="118"/>
  <c r="F48" i="118" s="1"/>
  <c r="D47" i="118"/>
  <c r="F47" i="118" s="1"/>
  <c r="D46" i="118"/>
  <c r="F46" i="118" s="1"/>
  <c r="D45" i="118"/>
  <c r="F45" i="118" s="1"/>
  <c r="D44" i="118"/>
  <c r="F44" i="118" s="1"/>
  <c r="D43" i="118"/>
  <c r="F43" i="118" s="1"/>
  <c r="D42" i="118"/>
  <c r="F42" i="118" s="1"/>
  <c r="D41" i="118"/>
  <c r="F41" i="118" s="1"/>
  <c r="D21" i="118"/>
  <c r="F21" i="118" s="1"/>
  <c r="D20" i="118"/>
  <c r="F20" i="118" s="1"/>
  <c r="D19" i="118"/>
  <c r="F19" i="118" s="1"/>
  <c r="D18" i="118"/>
  <c r="F18" i="118" s="1"/>
  <c r="D17" i="118"/>
  <c r="F17" i="118" s="1"/>
  <c r="D16" i="118"/>
  <c r="F16" i="118" s="1"/>
  <c r="D15" i="118"/>
  <c r="F15" i="118" s="1"/>
  <c r="D14" i="118"/>
  <c r="F14" i="118" s="1"/>
  <c r="D13" i="118"/>
  <c r="F13" i="118" s="1"/>
  <c r="D12" i="118"/>
  <c r="F12" i="118" s="1"/>
  <c r="J55" i="118"/>
  <c r="J56" i="118" s="1"/>
  <c r="E61" i="118"/>
  <c r="D60" i="118"/>
  <c r="F60" i="118" s="1"/>
  <c r="D59" i="118"/>
  <c r="F59" i="118" s="1"/>
  <c r="D58" i="118"/>
  <c r="F58" i="118" s="1"/>
  <c r="D57" i="118"/>
  <c r="F57" i="118" s="1"/>
  <c r="D56" i="118"/>
  <c r="F56" i="118" s="1"/>
  <c r="D55" i="118"/>
  <c r="F55" i="118" s="1"/>
  <c r="D54" i="118"/>
  <c r="F54" i="118" s="1"/>
  <c r="D53" i="118"/>
  <c r="F53" i="118" s="1"/>
  <c r="D52" i="118"/>
  <c r="F52" i="118" s="1"/>
  <c r="D40" i="118"/>
  <c r="F40" i="118" s="1"/>
  <c r="D39" i="118"/>
  <c r="F39" i="118" s="1"/>
  <c r="D38" i="118"/>
  <c r="F38" i="118" s="1"/>
  <c r="D37" i="118"/>
  <c r="F37" i="118" s="1"/>
  <c r="C62" i="118"/>
  <c r="D36" i="118"/>
  <c r="J22" i="118"/>
  <c r="J23" i="118" s="1"/>
  <c r="E29" i="118"/>
  <c r="D28" i="118"/>
  <c r="F28" i="118" s="1"/>
  <c r="D27" i="118"/>
  <c r="F27" i="118" s="1"/>
  <c r="D26" i="118"/>
  <c r="F26" i="118" s="1"/>
  <c r="D25" i="118"/>
  <c r="F25" i="118" s="1"/>
  <c r="D24" i="118"/>
  <c r="F24" i="118" s="1"/>
  <c r="D23" i="118"/>
  <c r="F23" i="118" s="1"/>
  <c r="D22" i="118"/>
  <c r="F22" i="118" s="1"/>
  <c r="D11" i="118"/>
  <c r="F11" i="118" s="1"/>
  <c r="D10" i="118"/>
  <c r="F10" i="118" s="1"/>
  <c r="D9" i="118"/>
  <c r="F9" i="118" s="1"/>
  <c r="D8" i="118"/>
  <c r="F8" i="118" s="1"/>
  <c r="D7" i="118"/>
  <c r="F7" i="118" s="1"/>
  <c r="D6" i="118"/>
  <c r="F6" i="118" s="1"/>
  <c r="D5" i="118"/>
  <c r="F5" i="118" s="1"/>
  <c r="C29" i="118"/>
  <c r="B29" i="118"/>
  <c r="AB25" i="117"/>
  <c r="AB24" i="117"/>
  <c r="AB23" i="117"/>
  <c r="AB22" i="117"/>
  <c r="AB21" i="117"/>
  <c r="AB20" i="117"/>
  <c r="AB19" i="117"/>
  <c r="AB18" i="117"/>
  <c r="AB17" i="117"/>
  <c r="AB16" i="117"/>
  <c r="AB15" i="117"/>
  <c r="AB14" i="117"/>
  <c r="AB13" i="117"/>
  <c r="AB12" i="117"/>
  <c r="AB11" i="117"/>
  <c r="AB10" i="117"/>
  <c r="AB9" i="117"/>
  <c r="AB8" i="117"/>
  <c r="AB7" i="117"/>
  <c r="AB6" i="117"/>
  <c r="AB5" i="117"/>
  <c r="C44" i="116"/>
  <c r="B44" i="116"/>
  <c r="C19" i="116"/>
  <c r="B19" i="116"/>
  <c r="D62" i="118" l="1"/>
  <c r="F62" i="118" s="1"/>
  <c r="F36" i="118"/>
  <c r="F61" i="118" s="1"/>
  <c r="D61" i="118"/>
  <c r="D4" i="118"/>
  <c r="B30" i="118"/>
  <c r="C30" i="118"/>
  <c r="B61" i="118"/>
  <c r="C61" i="118"/>
  <c r="B62" i="118"/>
  <c r="B18" i="116"/>
  <c r="D29" i="118" l="1"/>
  <c r="D30" i="118"/>
  <c r="F30" i="118" s="1"/>
  <c r="F4" i="118"/>
  <c r="F29" i="118" s="1"/>
  <c r="C43" i="116"/>
  <c r="C42" i="116"/>
  <c r="B43" i="116"/>
  <c r="B42" i="116"/>
  <c r="C18" i="116"/>
  <c r="C17" i="116"/>
  <c r="B17" i="116"/>
  <c r="C41" i="116" l="1"/>
  <c r="C40" i="116"/>
  <c r="B41" i="116"/>
  <c r="B40" i="116"/>
  <c r="C16" i="116"/>
  <c r="C15" i="116"/>
  <c r="B16" i="116"/>
  <c r="B15" i="116"/>
  <c r="C39" i="116" l="1"/>
  <c r="C38" i="116"/>
  <c r="B39" i="116"/>
  <c r="B38" i="116"/>
  <c r="C14" i="116"/>
  <c r="C13" i="116"/>
  <c r="B14" i="116"/>
  <c r="B13" i="116"/>
  <c r="C37" i="116" l="1"/>
  <c r="C36" i="116"/>
  <c r="B37" i="116"/>
  <c r="B36" i="116"/>
  <c r="C12" i="116"/>
  <c r="C11" i="116"/>
  <c r="B12" i="116"/>
  <c r="B11" i="116"/>
  <c r="C35" i="116" l="1"/>
  <c r="B35" i="116"/>
  <c r="C10" i="116"/>
  <c r="B10" i="116"/>
  <c r="C34" i="116" l="1"/>
  <c r="C33" i="116"/>
  <c r="B34" i="116"/>
  <c r="B33" i="116"/>
  <c r="C9" i="116"/>
  <c r="C8" i="116"/>
  <c r="B9" i="116"/>
  <c r="B8" i="116"/>
  <c r="C32" i="116" l="1"/>
  <c r="C31" i="116"/>
  <c r="B32" i="116"/>
  <c r="B31" i="116"/>
  <c r="C7" i="116"/>
  <c r="C6" i="116"/>
  <c r="B7" i="116"/>
  <c r="B6" i="116"/>
  <c r="C30" i="116" l="1"/>
  <c r="C29" i="116"/>
  <c r="B30" i="116"/>
  <c r="B29" i="116"/>
  <c r="C5" i="116"/>
  <c r="C4" i="116"/>
  <c r="B5" i="116"/>
  <c r="B4" i="116"/>
  <c r="C56" i="114" l="1"/>
  <c r="B56" i="114"/>
  <c r="C26" i="114"/>
  <c r="B26" i="114"/>
  <c r="C55" i="114" l="1"/>
  <c r="C54" i="114"/>
  <c r="B55" i="114"/>
  <c r="B54" i="114"/>
  <c r="C25" i="114"/>
  <c r="C24" i="114"/>
  <c r="B25" i="114"/>
  <c r="B24" i="114"/>
  <c r="E47" i="116" l="1"/>
  <c r="C47" i="116"/>
  <c r="B47" i="116"/>
  <c r="E22" i="116"/>
  <c r="C22" i="116"/>
  <c r="B22" i="116"/>
  <c r="D4" i="116"/>
  <c r="F4" i="116" s="1"/>
  <c r="J51" i="116"/>
  <c r="J52" i="116" s="1"/>
  <c r="D46" i="116"/>
  <c r="F46" i="116" s="1"/>
  <c r="D45" i="116"/>
  <c r="F45" i="116" s="1"/>
  <c r="D44" i="116"/>
  <c r="F44" i="116" s="1"/>
  <c r="D43" i="116"/>
  <c r="F43" i="116" s="1"/>
  <c r="D42" i="116"/>
  <c r="F42" i="116" s="1"/>
  <c r="D41" i="116"/>
  <c r="F41" i="116" s="1"/>
  <c r="D40" i="116"/>
  <c r="F40" i="116" s="1"/>
  <c r="D39" i="116"/>
  <c r="F39" i="116" s="1"/>
  <c r="D38" i="116"/>
  <c r="F38" i="116" s="1"/>
  <c r="D37" i="116"/>
  <c r="F37" i="116" s="1"/>
  <c r="D36" i="116"/>
  <c r="F36" i="116" s="1"/>
  <c r="D35" i="116"/>
  <c r="F35" i="116" s="1"/>
  <c r="D34" i="116"/>
  <c r="F34" i="116" s="1"/>
  <c r="D33" i="116"/>
  <c r="F33" i="116" s="1"/>
  <c r="D32" i="116"/>
  <c r="F32" i="116" s="1"/>
  <c r="D31" i="116"/>
  <c r="F31" i="116" s="1"/>
  <c r="D30" i="116"/>
  <c r="F30" i="116" s="1"/>
  <c r="C48" i="116"/>
  <c r="B48" i="116"/>
  <c r="B23" i="116"/>
  <c r="J22" i="116"/>
  <c r="J23" i="116" s="1"/>
  <c r="D21" i="116"/>
  <c r="F21" i="116" s="1"/>
  <c r="D20" i="116"/>
  <c r="F20" i="116" s="1"/>
  <c r="D19" i="116"/>
  <c r="F19" i="116" s="1"/>
  <c r="D18" i="116"/>
  <c r="F18" i="116" s="1"/>
  <c r="D17" i="116"/>
  <c r="F17" i="116" s="1"/>
  <c r="D16" i="116"/>
  <c r="F16" i="116" s="1"/>
  <c r="D15" i="116"/>
  <c r="F15" i="116" s="1"/>
  <c r="D14" i="116"/>
  <c r="F14" i="116" s="1"/>
  <c r="D13" i="116"/>
  <c r="F13" i="116" s="1"/>
  <c r="D12" i="116"/>
  <c r="F12" i="116" s="1"/>
  <c r="D11" i="116"/>
  <c r="F11" i="116" s="1"/>
  <c r="D10" i="116"/>
  <c r="F10" i="116" s="1"/>
  <c r="D9" i="116"/>
  <c r="F9" i="116" s="1"/>
  <c r="D8" i="116"/>
  <c r="F8" i="116" s="1"/>
  <c r="D7" i="116"/>
  <c r="F7" i="116" s="1"/>
  <c r="D6" i="116"/>
  <c r="F6" i="116" s="1"/>
  <c r="D5" i="116"/>
  <c r="F5" i="116" s="1"/>
  <c r="C23" i="116"/>
  <c r="U6" i="115"/>
  <c r="U7" i="115"/>
  <c r="U8" i="115"/>
  <c r="U9" i="115"/>
  <c r="U10" i="115"/>
  <c r="U11" i="115"/>
  <c r="U12" i="115"/>
  <c r="U13" i="115"/>
  <c r="U14" i="115"/>
  <c r="U15" i="115"/>
  <c r="U16" i="115"/>
  <c r="U17" i="115"/>
  <c r="U18" i="115"/>
  <c r="U19" i="115"/>
  <c r="U20" i="115"/>
  <c r="U21" i="115"/>
  <c r="U22" i="115"/>
  <c r="U23" i="115"/>
  <c r="U24" i="115"/>
  <c r="U25" i="115"/>
  <c r="U5" i="115"/>
  <c r="C53" i="114"/>
  <c r="C52" i="114"/>
  <c r="B53" i="114"/>
  <c r="B52" i="114"/>
  <c r="C23" i="114"/>
  <c r="C22" i="114"/>
  <c r="B23" i="114"/>
  <c r="B22" i="114"/>
  <c r="F22" i="116" l="1"/>
  <c r="D22" i="116"/>
  <c r="D29" i="116"/>
  <c r="D47" i="116" s="1"/>
  <c r="C51" i="114"/>
  <c r="B51" i="114"/>
  <c r="C21" i="114"/>
  <c r="B21" i="114"/>
  <c r="D48" i="116" l="1"/>
  <c r="F48" i="116" s="1"/>
  <c r="F29" i="116"/>
  <c r="F47" i="116" s="1"/>
  <c r="D23" i="116"/>
  <c r="F23" i="116" s="1"/>
  <c r="C50" i="114"/>
  <c r="B50" i="114"/>
  <c r="C20" i="114"/>
  <c r="B20" i="114"/>
  <c r="C49" i="114" l="1"/>
  <c r="C48" i="114"/>
  <c r="B49" i="114"/>
  <c r="B48" i="114"/>
  <c r="C19" i="114"/>
  <c r="C18" i="114"/>
  <c r="B19" i="114"/>
  <c r="B18" i="114"/>
  <c r="C47" i="114" l="1"/>
  <c r="C46" i="114"/>
  <c r="B47" i="114"/>
  <c r="B46" i="114"/>
  <c r="C17" i="114"/>
  <c r="C16" i="114"/>
  <c r="B17" i="114"/>
  <c r="B16" i="114"/>
  <c r="C45" i="114" l="1"/>
  <c r="C44" i="114"/>
  <c r="C43" i="114"/>
  <c r="C42" i="114"/>
  <c r="B45" i="114"/>
  <c r="B44" i="114"/>
  <c r="B43" i="114"/>
  <c r="B42" i="114"/>
  <c r="C15" i="114"/>
  <c r="C14" i="114"/>
  <c r="C13" i="114"/>
  <c r="C12" i="114"/>
  <c r="B15" i="114"/>
  <c r="B14" i="114"/>
  <c r="B13" i="114"/>
  <c r="B12" i="114"/>
  <c r="C41" i="114" l="1"/>
  <c r="C40" i="114"/>
  <c r="C39" i="114"/>
  <c r="B41" i="114"/>
  <c r="B40" i="114"/>
  <c r="B39" i="114"/>
  <c r="C11" i="114"/>
  <c r="C10" i="114"/>
  <c r="C9" i="114"/>
  <c r="B11" i="114"/>
  <c r="B10" i="114"/>
  <c r="B9" i="114"/>
  <c r="C38" i="114" l="1"/>
  <c r="B38" i="114"/>
  <c r="C8" i="114"/>
  <c r="B8" i="114"/>
  <c r="C37" i="114" l="1"/>
  <c r="B37" i="114"/>
  <c r="C7" i="114"/>
  <c r="B7" i="114"/>
  <c r="C36" i="114" l="1"/>
  <c r="B36" i="114"/>
  <c r="C6" i="114"/>
  <c r="B6" i="114"/>
  <c r="C35" i="114" l="1"/>
  <c r="C34" i="114"/>
  <c r="B35" i="114"/>
  <c r="B34" i="114"/>
  <c r="B58" i="114" s="1"/>
  <c r="C5" i="114"/>
  <c r="C4" i="114"/>
  <c r="B5" i="114"/>
  <c r="B4" i="114"/>
  <c r="C58" i="114" l="1"/>
  <c r="C60" i="112"/>
  <c r="B60" i="112"/>
  <c r="C28" i="112"/>
  <c r="B28" i="112"/>
  <c r="C59" i="112" l="1"/>
  <c r="C58" i="112"/>
  <c r="B59" i="112"/>
  <c r="B58" i="112"/>
  <c r="C27" i="112"/>
  <c r="C26" i="112"/>
  <c r="B27" i="112"/>
  <c r="B26" i="112"/>
  <c r="E57" i="114" l="1"/>
  <c r="D56" i="114"/>
  <c r="F56" i="114" s="1"/>
  <c r="J55" i="114"/>
  <c r="J56" i="114" s="1"/>
  <c r="D55" i="114"/>
  <c r="F55" i="114" s="1"/>
  <c r="D54" i="114"/>
  <c r="F54" i="114" s="1"/>
  <c r="D53" i="114"/>
  <c r="F53" i="114" s="1"/>
  <c r="D52" i="114"/>
  <c r="F52" i="114" s="1"/>
  <c r="D51" i="114"/>
  <c r="F51" i="114" s="1"/>
  <c r="D50" i="114"/>
  <c r="F50" i="114" s="1"/>
  <c r="D49" i="114"/>
  <c r="F49" i="114" s="1"/>
  <c r="D48" i="114"/>
  <c r="F48" i="114" s="1"/>
  <c r="D47" i="114"/>
  <c r="F47" i="114" s="1"/>
  <c r="D46" i="114"/>
  <c r="F46" i="114" s="1"/>
  <c r="D45" i="114"/>
  <c r="F45" i="114" s="1"/>
  <c r="D44" i="114"/>
  <c r="F44" i="114" s="1"/>
  <c r="D43" i="114"/>
  <c r="F43" i="114" s="1"/>
  <c r="D42" i="114"/>
  <c r="F42" i="114" s="1"/>
  <c r="D41" i="114"/>
  <c r="F41" i="114" s="1"/>
  <c r="D40" i="114"/>
  <c r="F40" i="114" s="1"/>
  <c r="D39" i="114"/>
  <c r="F39" i="114" s="1"/>
  <c r="D38" i="114"/>
  <c r="F38" i="114" s="1"/>
  <c r="D37" i="114"/>
  <c r="F37" i="114" s="1"/>
  <c r="D36" i="114"/>
  <c r="F36" i="114" s="1"/>
  <c r="D35" i="114"/>
  <c r="F35" i="114" s="1"/>
  <c r="D34" i="114"/>
  <c r="E27" i="114"/>
  <c r="D26" i="114"/>
  <c r="F26" i="114" s="1"/>
  <c r="D25" i="114"/>
  <c r="F25" i="114" s="1"/>
  <c r="D24" i="114"/>
  <c r="F24" i="114" s="1"/>
  <c r="D23" i="114"/>
  <c r="F23" i="114" s="1"/>
  <c r="J22" i="114"/>
  <c r="J23" i="114" s="1"/>
  <c r="D22" i="114"/>
  <c r="F22" i="114" s="1"/>
  <c r="D21" i="114"/>
  <c r="F21" i="114" s="1"/>
  <c r="D20" i="114"/>
  <c r="F20" i="114" s="1"/>
  <c r="D19" i="114"/>
  <c r="F19" i="114" s="1"/>
  <c r="D18" i="114"/>
  <c r="F18" i="114" s="1"/>
  <c r="D17" i="114"/>
  <c r="F17" i="114" s="1"/>
  <c r="D16" i="114"/>
  <c r="F16" i="114" s="1"/>
  <c r="D15" i="114"/>
  <c r="F15" i="114" s="1"/>
  <c r="D14" i="114"/>
  <c r="F14" i="114" s="1"/>
  <c r="D13" i="114"/>
  <c r="F13" i="114" s="1"/>
  <c r="D12" i="114"/>
  <c r="F12" i="114" s="1"/>
  <c r="D11" i="114"/>
  <c r="F11" i="114" s="1"/>
  <c r="D10" i="114"/>
  <c r="F10" i="114" s="1"/>
  <c r="D9" i="114"/>
  <c r="F9" i="114" s="1"/>
  <c r="D8" i="114"/>
  <c r="F8" i="114" s="1"/>
  <c r="D7" i="114"/>
  <c r="F7" i="114" s="1"/>
  <c r="D6" i="114"/>
  <c r="F6" i="114" s="1"/>
  <c r="D5" i="114"/>
  <c r="F5" i="114" s="1"/>
  <c r="C27" i="114"/>
  <c r="D4" i="114"/>
  <c r="Z25" i="113"/>
  <c r="Z24" i="113"/>
  <c r="Z23" i="113"/>
  <c r="Z22" i="113"/>
  <c r="Z21" i="113"/>
  <c r="Z20" i="113"/>
  <c r="Z19" i="113"/>
  <c r="Z18" i="113"/>
  <c r="Z17" i="113"/>
  <c r="Z16" i="113"/>
  <c r="Z15" i="113"/>
  <c r="Z14" i="113"/>
  <c r="Z13" i="113"/>
  <c r="Z12" i="113"/>
  <c r="Z11" i="113"/>
  <c r="Z10" i="113"/>
  <c r="Z9" i="113"/>
  <c r="Z8" i="113"/>
  <c r="Z7" i="113"/>
  <c r="Z6" i="113"/>
  <c r="Z5" i="113"/>
  <c r="C57" i="112"/>
  <c r="B57" i="112"/>
  <c r="C25" i="112"/>
  <c r="B25" i="112"/>
  <c r="D27" i="114" l="1"/>
  <c r="D28" i="114"/>
  <c r="F28" i="114" s="1"/>
  <c r="F4" i="114"/>
  <c r="F27" i="114" s="1"/>
  <c r="D58" i="114"/>
  <c r="F58" i="114" s="1"/>
  <c r="C28" i="114"/>
  <c r="B28" i="114"/>
  <c r="B57" i="114"/>
  <c r="C57" i="114"/>
  <c r="D57" i="114"/>
  <c r="B27" i="114"/>
  <c r="F34" i="114"/>
  <c r="F57" i="114" s="1"/>
  <c r="C56" i="112"/>
  <c r="C55" i="112"/>
  <c r="B56" i="112"/>
  <c r="B55" i="112"/>
  <c r="C24" i="112"/>
  <c r="C23" i="112"/>
  <c r="B24" i="112"/>
  <c r="B23" i="112"/>
  <c r="C54" i="112" l="1"/>
  <c r="C53" i="112"/>
  <c r="B54" i="112"/>
  <c r="B53" i="112"/>
  <c r="C22" i="112"/>
  <c r="C21" i="112"/>
  <c r="B22" i="112"/>
  <c r="B21" i="112"/>
  <c r="C52" i="112" l="1"/>
  <c r="C51" i="112"/>
  <c r="C50" i="112"/>
  <c r="B52" i="112"/>
  <c r="B51" i="112"/>
  <c r="B50" i="112"/>
  <c r="C20" i="112"/>
  <c r="C19" i="112"/>
  <c r="C18" i="112"/>
  <c r="B20" i="112"/>
  <c r="B19" i="112"/>
  <c r="B18" i="112"/>
  <c r="C49" i="112" l="1"/>
  <c r="C48" i="112"/>
  <c r="C47" i="112"/>
  <c r="C46" i="112"/>
  <c r="C45" i="112"/>
  <c r="C44" i="112"/>
  <c r="B49" i="112"/>
  <c r="B48" i="112"/>
  <c r="B47" i="112"/>
  <c r="B46" i="112"/>
  <c r="B45" i="112"/>
  <c r="B44" i="112"/>
  <c r="C17" i="112"/>
  <c r="C16" i="112"/>
  <c r="C15" i="112"/>
  <c r="C14" i="112"/>
  <c r="C13" i="112"/>
  <c r="C12" i="112"/>
  <c r="B17" i="112"/>
  <c r="B16" i="112"/>
  <c r="B15" i="112"/>
  <c r="B14" i="112"/>
  <c r="B13" i="112"/>
  <c r="B12" i="112"/>
  <c r="C43" i="112" l="1"/>
  <c r="C42" i="112"/>
  <c r="C41" i="112"/>
  <c r="C40" i="112"/>
  <c r="C39" i="112"/>
  <c r="C38" i="112"/>
  <c r="B43" i="112"/>
  <c r="B42" i="112"/>
  <c r="B41" i="112"/>
  <c r="B40" i="112"/>
  <c r="B39" i="112"/>
  <c r="B38" i="112"/>
  <c r="C11" i="112"/>
  <c r="C10" i="112"/>
  <c r="C9" i="112"/>
  <c r="C8" i="112"/>
  <c r="C7" i="112"/>
  <c r="C6" i="112"/>
  <c r="B11" i="112"/>
  <c r="B10" i="112"/>
  <c r="B9" i="112"/>
  <c r="B8" i="112"/>
  <c r="B7" i="112"/>
  <c r="B6" i="112"/>
  <c r="C37" i="112"/>
  <c r="B37" i="112"/>
  <c r="D44" i="112"/>
  <c r="D45" i="112"/>
  <c r="D46" i="112"/>
  <c r="D47" i="112"/>
  <c r="D48" i="112"/>
  <c r="D49" i="112"/>
  <c r="D50" i="112"/>
  <c r="D51" i="112"/>
  <c r="D52" i="112"/>
  <c r="D53" i="112"/>
  <c r="D54" i="112"/>
  <c r="D55" i="112"/>
  <c r="D56" i="112"/>
  <c r="D57" i="112"/>
  <c r="D58" i="112"/>
  <c r="D59" i="112"/>
  <c r="D60" i="112"/>
  <c r="D12" i="112"/>
  <c r="D13" i="112"/>
  <c r="D14" i="112"/>
  <c r="D15" i="112"/>
  <c r="D16" i="112"/>
  <c r="D17" i="112"/>
  <c r="D18" i="112"/>
  <c r="D19" i="112"/>
  <c r="D20" i="112"/>
  <c r="D21" i="112"/>
  <c r="D22" i="112"/>
  <c r="D23" i="112"/>
  <c r="D24" i="112"/>
  <c r="D25" i="112"/>
  <c r="D26" i="112"/>
  <c r="D27" i="112"/>
  <c r="D28" i="112"/>
  <c r="C5" i="112"/>
  <c r="B5" i="112"/>
  <c r="D5" i="112" l="1"/>
  <c r="D11" i="112"/>
  <c r="D43" i="112"/>
  <c r="D42" i="112"/>
  <c r="D41" i="112"/>
  <c r="D40" i="112"/>
  <c r="D39" i="112"/>
  <c r="D38" i="112"/>
  <c r="D10" i="112"/>
  <c r="D9" i="112"/>
  <c r="D8" i="112"/>
  <c r="D7" i="112"/>
  <c r="D6" i="112"/>
  <c r="D37" i="112"/>
  <c r="C36" i="112"/>
  <c r="B36" i="112"/>
  <c r="C4" i="112"/>
  <c r="B4" i="112"/>
  <c r="D4" i="112" l="1"/>
  <c r="F4" i="112" s="1"/>
  <c r="D36" i="112" l="1"/>
  <c r="E29" i="112" l="1"/>
  <c r="AB6" i="111" l="1"/>
  <c r="AB7" i="111"/>
  <c r="AB8" i="111"/>
  <c r="AB9" i="111"/>
  <c r="AB10" i="111"/>
  <c r="AB11" i="111"/>
  <c r="AB12" i="111"/>
  <c r="AB13" i="111"/>
  <c r="AB14" i="111"/>
  <c r="AB15" i="111"/>
  <c r="AB16" i="111"/>
  <c r="AB17" i="111"/>
  <c r="AB18" i="111"/>
  <c r="AB19" i="111"/>
  <c r="AB20" i="111"/>
  <c r="AB21" i="111"/>
  <c r="AB22" i="111"/>
  <c r="AB23" i="111"/>
  <c r="AB24" i="111"/>
  <c r="AB25" i="111"/>
  <c r="AB5" i="111"/>
  <c r="E61" i="112"/>
  <c r="F60" i="112"/>
  <c r="F59" i="112"/>
  <c r="F58" i="112"/>
  <c r="J57" i="112"/>
  <c r="J58" i="112" s="1"/>
  <c r="F57" i="112"/>
  <c r="F56" i="112"/>
  <c r="F55" i="112"/>
  <c r="F54" i="112"/>
  <c r="F53" i="112"/>
  <c r="F52" i="112"/>
  <c r="F51" i="112"/>
  <c r="F50" i="112"/>
  <c r="F49" i="112"/>
  <c r="F48" i="112"/>
  <c r="F47" i="112"/>
  <c r="F46" i="112"/>
  <c r="F45" i="112"/>
  <c r="F44" i="112"/>
  <c r="F43" i="112"/>
  <c r="F42" i="112"/>
  <c r="F41" i="112"/>
  <c r="F40" i="112"/>
  <c r="F39" i="112"/>
  <c r="F38" i="112"/>
  <c r="C62" i="112"/>
  <c r="B62" i="112"/>
  <c r="F36" i="112"/>
  <c r="C30" i="112"/>
  <c r="B30" i="112"/>
  <c r="F28" i="112"/>
  <c r="F27" i="112"/>
  <c r="F26" i="112"/>
  <c r="F25" i="112"/>
  <c r="F24" i="112"/>
  <c r="F23" i="112"/>
  <c r="J22" i="112"/>
  <c r="J23" i="112" s="1"/>
  <c r="F22" i="112"/>
  <c r="F21" i="112"/>
  <c r="F20" i="112"/>
  <c r="F19" i="112"/>
  <c r="F18" i="112"/>
  <c r="F17" i="112"/>
  <c r="F16" i="112"/>
  <c r="F15" i="112"/>
  <c r="F14" i="112"/>
  <c r="F13" i="112"/>
  <c r="F12" i="112"/>
  <c r="F11" i="112"/>
  <c r="F10" i="112"/>
  <c r="F9" i="112"/>
  <c r="F8" i="112"/>
  <c r="F7" i="112"/>
  <c r="F6" i="112"/>
  <c r="F5" i="112"/>
  <c r="B29" i="112"/>
  <c r="F29" i="112" l="1"/>
  <c r="D29" i="112"/>
  <c r="D30" i="112"/>
  <c r="F30" i="112" s="1"/>
  <c r="B61" i="112"/>
  <c r="C61" i="112"/>
  <c r="C29" i="112"/>
  <c r="D62" i="112" l="1"/>
  <c r="F62" i="112" s="1"/>
  <c r="F37" i="112"/>
  <c r="F61" i="112" s="1"/>
  <c r="D61" i="112"/>
</calcChain>
</file>

<file path=xl/sharedStrings.xml><?xml version="1.0" encoding="utf-8"?>
<sst xmlns="http://schemas.openxmlformats.org/spreadsheetml/2006/main" count="455" uniqueCount="66">
  <si>
    <t>STOCK</t>
  </si>
  <si>
    <t>AVERAGE</t>
  </si>
  <si>
    <t>BAHAN BAKU</t>
  </si>
  <si>
    <t>CRC</t>
  </si>
  <si>
    <t>ALLUMUNIUM</t>
  </si>
  <si>
    <t>ZINC</t>
  </si>
  <si>
    <t>ALKALI</t>
  </si>
  <si>
    <t>RESIN</t>
  </si>
  <si>
    <t>BARANG JADI</t>
  </si>
  <si>
    <t>NEXALUME PRIME</t>
  </si>
  <si>
    <t>NEXALUME MEDIUM</t>
  </si>
  <si>
    <t>NEXALUME SECOND</t>
  </si>
  <si>
    <t>COIL SLITTING</t>
  </si>
  <si>
    <t>LIMBAH</t>
  </si>
  <si>
    <t>DOWNGRADE</t>
  </si>
  <si>
    <t>DROSS</t>
  </si>
  <si>
    <t>PUP COIL</t>
  </si>
  <si>
    <t>TGL</t>
  </si>
  <si>
    <t>KAP</t>
  </si>
  <si>
    <t>TREND</t>
  </si>
  <si>
    <t>PERHITUNGAN KAPASITAS : RATA-RATA BERAT PER COIL 20 TON</t>
  </si>
  <si>
    <t>Stock tertinggi</t>
  </si>
  <si>
    <t>PERHITUNGAN KAPASITAS : RATA-RATA BERAT PER COIL 5 TON</t>
  </si>
  <si>
    <t>COIL PRIME, MEDIUM , SECOND</t>
  </si>
  <si>
    <t>Kapasitas</t>
  </si>
  <si>
    <t>Ton</t>
  </si>
  <si>
    <t>Kapasitas (%)</t>
  </si>
  <si>
    <t>Kapasitas tersisa</t>
  </si>
  <si>
    <t>WH</t>
  </si>
  <si>
    <t>PRD</t>
  </si>
  <si>
    <t>PRD &amp; QA</t>
  </si>
  <si>
    <t>TOTAL STOCK</t>
  </si>
  <si>
    <t>QA</t>
  </si>
  <si>
    <t>TATALUME  PRIME</t>
  </si>
  <si>
    <t>NEXCOLOR  PRIME</t>
  </si>
  <si>
    <t>NEXIUM PRIME</t>
  </si>
  <si>
    <t>COIL TATALOGAM</t>
  </si>
  <si>
    <t>COIL TATA SENTOSA</t>
  </si>
  <si>
    <t>POSISI STOCK  TML JANUARI 2026 ( KG )</t>
  </si>
  <si>
    <t>CRC - JANUARI 2026</t>
  </si>
  <si>
    <t>BARANG JADI JANUARI 2026</t>
  </si>
  <si>
    <t>POSISI STOCK  TML FEBRUARI 2026 ( KG )</t>
  </si>
  <si>
    <t>CRC - FEBRUARI 2026</t>
  </si>
  <si>
    <t>BARANG JADI FEBRUARI 2026</t>
  </si>
  <si>
    <t>Posisi Stock 31 Jan 26</t>
  </si>
  <si>
    <t>POSISI STOCK  TML MARET 2026 ( KG )</t>
  </si>
  <si>
    <t>CRC - MARET 2026</t>
  </si>
  <si>
    <t>BARANG JADI MARET 2026</t>
  </si>
  <si>
    <t>Posisi Stock 28 Feb 26</t>
  </si>
  <si>
    <t>POSISI STOCK  TML APRIL 2026 ( KG )</t>
  </si>
  <si>
    <t>CRC - APRIL 2026</t>
  </si>
  <si>
    <t>BARANG JADI APRIL 2026</t>
  </si>
  <si>
    <t>Posisi Stock 31 Mar 26</t>
  </si>
  <si>
    <t>POSISI STOCK  TML MEI 2026 ( KG )</t>
  </si>
  <si>
    <t>CRC - MEI 2026</t>
  </si>
  <si>
    <t>Posisi Stock 30 APR 26</t>
  </si>
  <si>
    <t>POSISI STOCK  TML JUNI 2026 ( KG )</t>
  </si>
  <si>
    <t>CRC - JUNI 2026</t>
  </si>
  <si>
    <t>BARANG JADI JUNI 2026</t>
  </si>
  <si>
    <t>BARANG JADI MEI 2026</t>
  </si>
  <si>
    <t>Posisi Stock 30 MEI 26</t>
  </si>
  <si>
    <t>Posisi Stock 17 JUN 26</t>
  </si>
  <si>
    <t>POSISI STOCK  TML JULI 2026 ( KG )</t>
  </si>
  <si>
    <t>CRC - JULI 2026</t>
  </si>
  <si>
    <t>BARANG JADI JULI 2026</t>
  </si>
  <si>
    <t>Posisi Stock 30 JUN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</si>
</sst>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.0%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DFAD3"/>
        <bgColor indexed="64"/>
      </patternFill>
    </fill>
    <fill>
      <patternFill patternType="solid">
        <fgColor rgb="FFD1FEF5"/>
        <bgColor indexed="64"/>
      </patternFill>
    </fill>
    <fill>
      <patternFill patternType="solid">
        <fgColor rgb="FFDDDDF9"/>
        <bgColor indexed="64"/>
      </patternFill>
    </fill>
    <fill>
      <patternFill patternType="solid">
        <fgColor rgb="FFF4BAF4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6">
    <xf numFmtId="0" fontId="0" fillId="0" borderId="0">
      <alignment vertical="center"/>
    </xf>
    <xf numFmtId="165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1" fillId="0" borderId="0"/>
    <xf numFmtId="164" fontId="22" fillId="0" borderId="0" applyFont="0" applyFill="0" applyBorder="0" applyAlignment="0" applyProtection="0"/>
    <xf numFmtId="0" fontId="8" fillId="0" borderId="0"/>
  </cellStyleXfs>
  <cellXfs count="75">
    <xf numFmtId="0" fontId="0" fillId="0" borderId="0" xfId="0">
      <alignment vertical="center"/>
    </xf>
    <xf numFmtId="0" fontId="9" fillId="2" borderId="0" xfId="0" applyFont="1" applyFill="1" applyAlignment="1"/>
    <xf numFmtId="0" fontId="9" fillId="0" borderId="0" xfId="0" applyFont="1" applyAlignment="1"/>
    <xf numFmtId="17" fontId="10" fillId="0" borderId="0" xfId="0" applyNumberFormat="1" applyFont="1" applyAlignment="1">
      <alignment horizontal="left"/>
    </xf>
    <xf numFmtId="0" fontId="9" fillId="3" borderId="1" xfId="0" applyFont="1" applyFill="1" applyBorder="1" applyAlignment="1">
      <alignment horizontal="center"/>
    </xf>
    <xf numFmtId="3" fontId="9" fillId="0" borderId="1" xfId="1" applyNumberFormat="1" applyFont="1" applyBorder="1" applyAlignment="1"/>
    <xf numFmtId="166" fontId="9" fillId="0" borderId="1" xfId="1" applyNumberFormat="1" applyFont="1" applyBorder="1"/>
    <xf numFmtId="9" fontId="9" fillId="0" borderId="1" xfId="2" applyFont="1" applyBorder="1" applyAlignment="1">
      <alignment horizontal="center"/>
    </xf>
    <xf numFmtId="0" fontId="11" fillId="2" borderId="0" xfId="0" applyFont="1" applyFill="1" applyAlignment="1"/>
    <xf numFmtId="166" fontId="11" fillId="2" borderId="0" xfId="0" applyNumberFormat="1" applyFont="1" applyFill="1" applyAlignment="1"/>
    <xf numFmtId="0" fontId="9" fillId="3" borderId="1" xfId="0" applyFont="1" applyFill="1" applyBorder="1" applyAlignment="1"/>
    <xf numFmtId="166" fontId="9" fillId="3" borderId="1" xfId="0" applyNumberFormat="1" applyFont="1" applyFill="1" applyBorder="1" applyAlignment="1"/>
    <xf numFmtId="9" fontId="9" fillId="3" borderId="1" xfId="2" applyFont="1" applyFill="1" applyBorder="1" applyAlignment="1">
      <alignment horizontal="center"/>
    </xf>
    <xf numFmtId="0" fontId="12" fillId="2" borderId="1" xfId="0" applyFont="1" applyFill="1" applyBorder="1" applyAlignment="1"/>
    <xf numFmtId="166" fontId="12" fillId="2" borderId="1" xfId="0" applyNumberFormat="1" applyFont="1" applyFill="1" applyBorder="1" applyAlignment="1"/>
    <xf numFmtId="166" fontId="12" fillId="2" borderId="1" xfId="1" applyNumberFormat="1" applyFont="1" applyFill="1" applyBorder="1"/>
    <xf numFmtId="9" fontId="12" fillId="2" borderId="1" xfId="2" applyFont="1" applyFill="1" applyBorder="1" applyAlignment="1">
      <alignment horizontal="center"/>
    </xf>
    <xf numFmtId="0" fontId="12" fillId="2" borderId="0" xfId="0" applyFont="1" applyFill="1" applyAlignment="1"/>
    <xf numFmtId="166" fontId="12" fillId="2" borderId="0" xfId="0" applyNumberFormat="1" applyFont="1" applyFill="1" applyAlignment="1"/>
    <xf numFmtId="166" fontId="12" fillId="2" borderId="0" xfId="1" applyNumberFormat="1" applyFont="1" applyFill="1" applyBorder="1"/>
    <xf numFmtId="9" fontId="12" fillId="2" borderId="0" xfId="2" applyFont="1" applyFill="1" applyBorder="1" applyAlignment="1">
      <alignment horizontal="center"/>
    </xf>
    <xf numFmtId="0" fontId="10" fillId="0" borderId="0" xfId="0" applyFont="1" applyAlignment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/>
    <xf numFmtId="166" fontId="9" fillId="4" borderId="1" xfId="0" applyNumberFormat="1" applyFont="1" applyFill="1" applyBorder="1" applyAlignment="1"/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3" fontId="0" fillId="2" borderId="1" xfId="0" applyNumberFormat="1" applyFill="1" applyBorder="1">
      <alignment vertical="center"/>
    </xf>
    <xf numFmtId="0" fontId="17" fillId="0" borderId="0" xfId="0" applyFont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3" fontId="17" fillId="9" borderId="1" xfId="0" applyNumberFormat="1" applyFont="1" applyFill="1" applyBorder="1">
      <alignment vertical="center"/>
    </xf>
    <xf numFmtId="3" fontId="19" fillId="0" borderId="1" xfId="1" applyNumberFormat="1" applyFont="1" applyBorder="1" applyAlignment="1"/>
    <xf numFmtId="166" fontId="19" fillId="0" borderId="1" xfId="1" applyNumberFormat="1" applyFont="1" applyBorder="1"/>
    <xf numFmtId="9" fontId="19" fillId="0" borderId="1" xfId="2" applyFont="1" applyBorder="1" applyAlignment="1">
      <alignment horizontal="center"/>
    </xf>
    <xf numFmtId="166" fontId="11" fillId="2" borderId="0" xfId="1" applyNumberFormat="1" applyFont="1" applyFill="1" applyAlignment="1"/>
    <xf numFmtId="167" fontId="11" fillId="2" borderId="0" xfId="2" applyNumberFormat="1" applyFont="1" applyFill="1" applyAlignment="1"/>
    <xf numFmtId="0" fontId="23" fillId="2" borderId="0" xfId="0" applyFont="1" applyFill="1" applyAlignment="1"/>
    <xf numFmtId="167" fontId="23" fillId="2" borderId="0" xfId="0" applyNumberFormat="1" applyFont="1" applyFill="1" applyAlignment="1"/>
    <xf numFmtId="166" fontId="9" fillId="2" borderId="0" xfId="0" applyNumberFormat="1" applyFont="1" applyFill="1" applyAlignment="1"/>
    <xf numFmtId="3" fontId="0" fillId="10" borderId="1" xfId="0" applyNumberFormat="1" applyFill="1" applyBorder="1">
      <alignment vertical="center"/>
    </xf>
    <xf numFmtId="0" fontId="24" fillId="10" borderId="1" xfId="0" applyFont="1" applyFill="1" applyBorder="1">
      <alignment vertical="center"/>
    </xf>
    <xf numFmtId="9" fontId="9" fillId="4" borderId="1" xfId="2" applyFont="1" applyFill="1" applyBorder="1" applyAlignment="1">
      <alignment horizontal="center"/>
    </xf>
    <xf numFmtId="0" fontId="25" fillId="0" borderId="1" xfId="0" applyFont="1" applyBorder="1">
      <alignment vertical="center"/>
    </xf>
    <xf numFmtId="3" fontId="19" fillId="0" borderId="1" xfId="1" applyNumberFormat="1" applyFont="1" applyFill="1" applyBorder="1" applyAlignment="1"/>
    <xf numFmtId="3" fontId="20" fillId="2" borderId="1" xfId="0" applyNumberFormat="1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26" fillId="0" borderId="7" xfId="0" applyNumberFormat="1" applyFont="1" applyBorder="1" applyAlignment="1">
      <alignment horizontal="right" vertical="center"/>
    </xf>
    <xf numFmtId="0" fontId="1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</cellXfs>
  <cellStyles count="6">
    <cellStyle name="Comma" xfId="1" builtinId="3"/>
    <cellStyle name="Comma [0] 2" xfId="4" xr:uid="{00000000-0005-0000-0000-000001000000}"/>
    <cellStyle name="Normal" xfId="0" builtinId="0"/>
    <cellStyle name="Normal 2" xfId="5" xr:uid="{00000000-0005-0000-0000-000003000000}"/>
    <cellStyle name="Normal 3" xfId="3" xr:uid="{00000000-0005-0000-0000-000004000000}"/>
    <cellStyle name="Percent" xfId="2" builtinId="5"/>
  </cellStyles>
  <dxfs count="0"/>
  <tableStyles count="0" defaultTableStyle="TableStyleMedium2" defaultPivotStyle="PivotStyleLight16"/>
  <colors>
    <mruColors>
      <color rgb="FFFDE4CA"/>
      <color rgb="FFFAB6E3"/>
      <color rgb="FFC6FAF0"/>
      <color rgb="FFCBFDC3"/>
      <color rgb="FFC9C5FB"/>
      <color rgb="FFCAE8E7"/>
      <color rgb="FFEFC3C7"/>
      <color rgb="FFFBF5B4"/>
      <color rgb="FFFCD5C4"/>
      <color rgb="FFD1F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CRC (layout + transit)</a:t>
            </a:r>
          </a:p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JANUARI</a:t>
            </a:r>
            <a:r>
              <a:rPr lang="en-US" b="1" baseline="0"/>
              <a:t>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FF0000"/>
              </a:solidFill>
            </c:spPr>
          </c:marker>
          <c:cat>
            <c:numRef>
              <c:f>'KAPASITAS JAN'!$A$4:$A$28</c:f>
              <c:numCache>
                <c:formatCode>General</c:formatCode>
                <c:ptCount val="25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</c:numCache>
            </c:numRef>
          </c:cat>
          <c:val>
            <c:numRef>
              <c:f>'KAPASITAS JAN'!$D$4:$D$28</c:f>
              <c:numCache>
                <c:formatCode>#,##0</c:formatCode>
                <c:ptCount val="25"/>
                <c:pt idx="0">
                  <c:v>7932.1239999999998</c:v>
                </c:pt>
                <c:pt idx="1">
                  <c:v>7645.9690000000001</c:v>
                </c:pt>
                <c:pt idx="2">
                  <c:v>8010.1949999999997</c:v>
                </c:pt>
                <c:pt idx="3">
                  <c:v>8068.643</c:v>
                </c:pt>
                <c:pt idx="4">
                  <c:v>8935.5450000000001</c:v>
                </c:pt>
                <c:pt idx="5">
                  <c:v>9324.1550000000007</c:v>
                </c:pt>
                <c:pt idx="6">
                  <c:v>10034.08</c:v>
                </c:pt>
                <c:pt idx="7">
                  <c:v>10472.33</c:v>
                </c:pt>
                <c:pt idx="8">
                  <c:v>11526.878000000001</c:v>
                </c:pt>
                <c:pt idx="9">
                  <c:v>11851.439999999999</c:v>
                </c:pt>
                <c:pt idx="10">
                  <c:v>8637.7919999999995</c:v>
                </c:pt>
                <c:pt idx="11">
                  <c:v>7875.4930000000004</c:v>
                </c:pt>
                <c:pt idx="12">
                  <c:v>9168.2079999999987</c:v>
                </c:pt>
                <c:pt idx="13">
                  <c:v>9395.762999999999</c:v>
                </c:pt>
                <c:pt idx="14">
                  <c:v>9292.0529999999999</c:v>
                </c:pt>
                <c:pt idx="15">
                  <c:v>9562.7749999999996</c:v>
                </c:pt>
                <c:pt idx="16">
                  <c:v>9568.2400000000016</c:v>
                </c:pt>
                <c:pt idx="17">
                  <c:v>6802.7069999999994</c:v>
                </c:pt>
                <c:pt idx="18">
                  <c:v>7241.2019999999993</c:v>
                </c:pt>
                <c:pt idx="19">
                  <c:v>6869.8650000000007</c:v>
                </c:pt>
                <c:pt idx="20">
                  <c:v>7031.558</c:v>
                </c:pt>
                <c:pt idx="21">
                  <c:v>6811.24</c:v>
                </c:pt>
                <c:pt idx="22">
                  <c:v>5827.8179999999993</c:v>
                </c:pt>
                <c:pt idx="23">
                  <c:v>5473.9579999999996</c:v>
                </c:pt>
                <c:pt idx="24">
                  <c:v>5488.3069999999998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E-4699-80ED-A68BA366766E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JAN'!$A$4:$A$28</c:f>
              <c:numCache>
                <c:formatCode>General</c:formatCode>
                <c:ptCount val="25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</c:numCache>
            </c:numRef>
          </c:cat>
          <c:val>
            <c:numRef>
              <c:f>'KAPASITAS JAN'!$E$4:$E$28</c:f>
              <c:numCache>
                <c:formatCode>_(* #,##0_);_(* \(#,##0\);_(* "-"??_);_(@_)</c:formatCode>
                <c:ptCount val="25"/>
                <c:pt idx="0">
                  <c:v>6760</c:v>
                </c:pt>
                <c:pt idx="1">
                  <c:v>6760</c:v>
                </c:pt>
                <c:pt idx="2">
                  <c:v>6760</c:v>
                </c:pt>
                <c:pt idx="3">
                  <c:v>6760</c:v>
                </c:pt>
                <c:pt idx="4">
                  <c:v>6760</c:v>
                </c:pt>
                <c:pt idx="5">
                  <c:v>6760</c:v>
                </c:pt>
                <c:pt idx="6">
                  <c:v>6760</c:v>
                </c:pt>
                <c:pt idx="7">
                  <c:v>6760</c:v>
                </c:pt>
                <c:pt idx="8">
                  <c:v>6760</c:v>
                </c:pt>
                <c:pt idx="9">
                  <c:v>6760</c:v>
                </c:pt>
                <c:pt idx="10">
                  <c:v>6760</c:v>
                </c:pt>
                <c:pt idx="11">
                  <c:v>6760</c:v>
                </c:pt>
                <c:pt idx="12">
                  <c:v>6760</c:v>
                </c:pt>
                <c:pt idx="13">
                  <c:v>6760</c:v>
                </c:pt>
                <c:pt idx="14">
                  <c:v>6760</c:v>
                </c:pt>
                <c:pt idx="15">
                  <c:v>6760</c:v>
                </c:pt>
                <c:pt idx="16">
                  <c:v>6760</c:v>
                </c:pt>
                <c:pt idx="17">
                  <c:v>6760</c:v>
                </c:pt>
                <c:pt idx="18">
                  <c:v>6760</c:v>
                </c:pt>
                <c:pt idx="19">
                  <c:v>6760</c:v>
                </c:pt>
                <c:pt idx="20">
                  <c:v>6760</c:v>
                </c:pt>
                <c:pt idx="21">
                  <c:v>6760</c:v>
                </c:pt>
                <c:pt idx="22">
                  <c:v>6760</c:v>
                </c:pt>
                <c:pt idx="23">
                  <c:v>6760</c:v>
                </c:pt>
                <c:pt idx="24">
                  <c:v>6760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E-4699-80ED-A68BA3667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85024"/>
        <c:axId val="103187200"/>
      </c:lineChart>
      <c:catAx>
        <c:axId val="10318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7200"/>
        <c:crosses val="autoZero"/>
        <c:auto val="1"/>
        <c:lblAlgn val="ctr"/>
        <c:lblOffset val="100"/>
        <c:noMultiLvlLbl val="0"/>
      </c:catAx>
      <c:valAx>
        <c:axId val="1031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STOCK BARANG JADI L3, L8 &amp; Sentosa -</a:t>
            </a:r>
            <a:r>
              <a:rPr lang="en-US" b="1" baseline="0"/>
              <a:t> JANUARI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0070C0"/>
              </a:solidFill>
            </c:spPr>
          </c:marker>
          <c:cat>
            <c:numRef>
              <c:f>'KAPASITAS JAN'!$A$36:$A$60</c:f>
              <c:numCache>
                <c:formatCode>General</c:formatCode>
                <c:ptCount val="25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</c:numCache>
            </c:numRef>
          </c:cat>
          <c:val>
            <c:numRef>
              <c:f>'KAPASITAS JAN'!$D$36:$D$60</c:f>
              <c:numCache>
                <c:formatCode>#,##0</c:formatCode>
                <c:ptCount val="25"/>
                <c:pt idx="0">
                  <c:v>9541.1374999999989</c:v>
                </c:pt>
                <c:pt idx="1">
                  <c:v>9639.9444999999996</c:v>
                </c:pt>
                <c:pt idx="2">
                  <c:v>10976.6885</c:v>
                </c:pt>
                <c:pt idx="3">
                  <c:v>10657.816500000001</c:v>
                </c:pt>
                <c:pt idx="4">
                  <c:v>9701.4354999999996</c:v>
                </c:pt>
                <c:pt idx="5">
                  <c:v>8965.3495000000003</c:v>
                </c:pt>
                <c:pt idx="6">
                  <c:v>8234.5015000000003</c:v>
                </c:pt>
                <c:pt idx="7">
                  <c:v>7342.5830000000005</c:v>
                </c:pt>
                <c:pt idx="8">
                  <c:v>7496.9285</c:v>
                </c:pt>
                <c:pt idx="9">
                  <c:v>7798.1444999999994</c:v>
                </c:pt>
                <c:pt idx="10">
                  <c:v>8070.1324999999997</c:v>
                </c:pt>
                <c:pt idx="11">
                  <c:v>7714.8874999999998</c:v>
                </c:pt>
                <c:pt idx="12">
                  <c:v>6975.6975000000002</c:v>
                </c:pt>
                <c:pt idx="13">
                  <c:v>7255.9634999999998</c:v>
                </c:pt>
                <c:pt idx="14">
                  <c:v>7247.1905000000006</c:v>
                </c:pt>
                <c:pt idx="15">
                  <c:v>7290.5315000000001</c:v>
                </c:pt>
                <c:pt idx="16">
                  <c:v>7447.7725</c:v>
                </c:pt>
                <c:pt idx="17">
                  <c:v>7665.5384999999997</c:v>
                </c:pt>
                <c:pt idx="18">
                  <c:v>7516.2455</c:v>
                </c:pt>
                <c:pt idx="19">
                  <c:v>8663.8605000000007</c:v>
                </c:pt>
                <c:pt idx="20">
                  <c:v>8212.9285</c:v>
                </c:pt>
                <c:pt idx="21">
                  <c:v>8107.0264999999999</c:v>
                </c:pt>
                <c:pt idx="22">
                  <c:v>7974.9834999999994</c:v>
                </c:pt>
                <c:pt idx="23">
                  <c:v>8154.2595000000001</c:v>
                </c:pt>
                <c:pt idx="24">
                  <c:v>7863.8235000000004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EC-4B91-8DBF-55D31E1814C1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JAN'!$A$36:$A$60</c:f>
              <c:numCache>
                <c:formatCode>General</c:formatCode>
                <c:ptCount val="25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17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26</c:v>
                </c:pt>
                <c:pt idx="20">
                  <c:v>27</c:v>
                </c:pt>
                <c:pt idx="21">
                  <c:v>28</c:v>
                </c:pt>
                <c:pt idx="22">
                  <c:v>29</c:v>
                </c:pt>
                <c:pt idx="23">
                  <c:v>30</c:v>
                </c:pt>
                <c:pt idx="24">
                  <c:v>31</c:v>
                </c:pt>
              </c:numCache>
            </c:numRef>
          </c:cat>
          <c:val>
            <c:numRef>
              <c:f>'KAPASITAS JAN'!$E$36:$E$60</c:f>
              <c:numCache>
                <c:formatCode>_(* #,##0_);_(* \(#,##0\);_(* "-"??_);_(@_)</c:formatCode>
                <c:ptCount val="25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  <c:pt idx="12">
                  <c:v>12000</c:v>
                </c:pt>
                <c:pt idx="13">
                  <c:v>12000</c:v>
                </c:pt>
                <c:pt idx="14">
                  <c:v>12000</c:v>
                </c:pt>
                <c:pt idx="15">
                  <c:v>12000</c:v>
                </c:pt>
                <c:pt idx="16">
                  <c:v>12000</c:v>
                </c:pt>
                <c:pt idx="17">
                  <c:v>12000</c:v>
                </c:pt>
                <c:pt idx="18">
                  <c:v>12000</c:v>
                </c:pt>
                <c:pt idx="19">
                  <c:v>12000</c:v>
                </c:pt>
                <c:pt idx="20">
                  <c:v>12000</c:v>
                </c:pt>
                <c:pt idx="21">
                  <c:v>12000</c:v>
                </c:pt>
                <c:pt idx="22">
                  <c:v>12000</c:v>
                </c:pt>
                <c:pt idx="23">
                  <c:v>12000</c:v>
                </c:pt>
                <c:pt idx="24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EC-4B91-8DBF-55D31E181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40448"/>
        <c:axId val="103242368"/>
      </c:lineChart>
      <c:catAx>
        <c:axId val="1032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2368"/>
        <c:crosses val="autoZero"/>
        <c:auto val="1"/>
        <c:lblAlgn val="ctr"/>
        <c:lblOffset val="100"/>
        <c:noMultiLvlLbl val="0"/>
      </c:catAx>
      <c:valAx>
        <c:axId val="103242368"/>
        <c:scaling>
          <c:orientation val="minMax"/>
          <c:max val="1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0448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CRC (layout + transit)</a:t>
            </a:r>
          </a:p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FEBRUARI</a:t>
            </a:r>
            <a:r>
              <a:rPr lang="en-US" b="1" baseline="0"/>
              <a:t>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FF0000"/>
              </a:solidFill>
            </c:spPr>
          </c:marker>
          <c:cat>
            <c:numRef>
              <c:f>'KAPASITAS FEB'!$A$4:$A$26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</c:numCache>
            </c:numRef>
          </c:cat>
          <c:val>
            <c:numRef>
              <c:f>'KAPASITAS FEB'!$D$4:$D$26</c:f>
              <c:numCache>
                <c:formatCode>#,##0</c:formatCode>
                <c:ptCount val="23"/>
                <c:pt idx="0">
                  <c:v>3819.578</c:v>
                </c:pt>
                <c:pt idx="1">
                  <c:v>3391.1880000000001</c:v>
                </c:pt>
                <c:pt idx="2">
                  <c:v>3424.3130000000001</c:v>
                </c:pt>
                <c:pt idx="3">
                  <c:v>2960.491</c:v>
                </c:pt>
                <c:pt idx="4">
                  <c:v>3422.7329999999997</c:v>
                </c:pt>
                <c:pt idx="5">
                  <c:v>3112.2280000000001</c:v>
                </c:pt>
                <c:pt idx="6">
                  <c:v>2691.6979999999999</c:v>
                </c:pt>
                <c:pt idx="7">
                  <c:v>2702.2370000000001</c:v>
                </c:pt>
                <c:pt idx="8">
                  <c:v>2673.5049999999997</c:v>
                </c:pt>
                <c:pt idx="9">
                  <c:v>2640.8249999999998</c:v>
                </c:pt>
                <c:pt idx="10">
                  <c:v>2855.4180000000001</c:v>
                </c:pt>
                <c:pt idx="11">
                  <c:v>1849.0509999999999</c:v>
                </c:pt>
                <c:pt idx="12">
                  <c:v>2343.9180000000001</c:v>
                </c:pt>
                <c:pt idx="13">
                  <c:v>2592.9580000000001</c:v>
                </c:pt>
                <c:pt idx="14">
                  <c:v>2898.7179999999998</c:v>
                </c:pt>
                <c:pt idx="15">
                  <c:v>3490.808</c:v>
                </c:pt>
                <c:pt idx="16">
                  <c:v>4705.3879999999999</c:v>
                </c:pt>
                <c:pt idx="17">
                  <c:v>5317.1729999999998</c:v>
                </c:pt>
                <c:pt idx="18">
                  <c:v>5092.6140000000005</c:v>
                </c:pt>
                <c:pt idx="19">
                  <c:v>4443.0439999999999</c:v>
                </c:pt>
                <c:pt idx="20">
                  <c:v>4143.8980000000001</c:v>
                </c:pt>
                <c:pt idx="21">
                  <c:v>4390.3209999999999</c:v>
                </c:pt>
                <c:pt idx="22">
                  <c:v>3300.1049999999996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C5-483C-A8AA-3B5EF388903D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FEB'!$A$4:$A$26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</c:numCache>
            </c:numRef>
          </c:cat>
          <c:val>
            <c:numRef>
              <c:f>'KAPASITAS FEB'!$E$4:$E$26</c:f>
              <c:numCache>
                <c:formatCode>_(* #,##0_);_(* \(#,##0\);_(* "-"??_);_(@_)</c:formatCode>
                <c:ptCount val="23"/>
                <c:pt idx="0">
                  <c:v>6760</c:v>
                </c:pt>
                <c:pt idx="1">
                  <c:v>6760</c:v>
                </c:pt>
                <c:pt idx="2">
                  <c:v>6760</c:v>
                </c:pt>
                <c:pt idx="3">
                  <c:v>6760</c:v>
                </c:pt>
                <c:pt idx="4">
                  <c:v>6760</c:v>
                </c:pt>
                <c:pt idx="5">
                  <c:v>6760</c:v>
                </c:pt>
                <c:pt idx="6">
                  <c:v>6760</c:v>
                </c:pt>
                <c:pt idx="7">
                  <c:v>6760</c:v>
                </c:pt>
                <c:pt idx="8">
                  <c:v>6760</c:v>
                </c:pt>
                <c:pt idx="9">
                  <c:v>6760</c:v>
                </c:pt>
                <c:pt idx="10">
                  <c:v>6760</c:v>
                </c:pt>
                <c:pt idx="11">
                  <c:v>6760</c:v>
                </c:pt>
                <c:pt idx="12">
                  <c:v>6760</c:v>
                </c:pt>
                <c:pt idx="13">
                  <c:v>6760</c:v>
                </c:pt>
                <c:pt idx="14">
                  <c:v>6760</c:v>
                </c:pt>
                <c:pt idx="15">
                  <c:v>6760</c:v>
                </c:pt>
                <c:pt idx="16">
                  <c:v>6760</c:v>
                </c:pt>
                <c:pt idx="17">
                  <c:v>6760</c:v>
                </c:pt>
                <c:pt idx="18">
                  <c:v>6760</c:v>
                </c:pt>
                <c:pt idx="19">
                  <c:v>6760</c:v>
                </c:pt>
                <c:pt idx="20">
                  <c:v>6760</c:v>
                </c:pt>
                <c:pt idx="21">
                  <c:v>6760</c:v>
                </c:pt>
                <c:pt idx="22">
                  <c:v>6760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C5-483C-A8AA-3B5EF3889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85024"/>
        <c:axId val="103187200"/>
      </c:lineChart>
      <c:catAx>
        <c:axId val="10318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7200"/>
        <c:crosses val="autoZero"/>
        <c:auto val="1"/>
        <c:lblAlgn val="ctr"/>
        <c:lblOffset val="100"/>
        <c:noMultiLvlLbl val="0"/>
      </c:catAx>
      <c:valAx>
        <c:axId val="1031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STOCK BARANG JADI L3, L8 &amp; Sentosa -</a:t>
            </a:r>
            <a:r>
              <a:rPr lang="en-US" b="1" baseline="0"/>
              <a:t> FEBRUARI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0070C0"/>
              </a:solidFill>
            </c:spPr>
          </c:marker>
          <c:cat>
            <c:numRef>
              <c:f>'KAPASITAS FEB'!$A$34:$A$56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</c:numCache>
            </c:numRef>
          </c:cat>
          <c:val>
            <c:numRef>
              <c:f>'KAPASITAS FEB'!$D$34:$D$56</c:f>
              <c:numCache>
                <c:formatCode>#,##0</c:formatCode>
                <c:ptCount val="23"/>
                <c:pt idx="0">
                  <c:v>8617.7284999999993</c:v>
                </c:pt>
                <c:pt idx="1">
                  <c:v>8519.7224999999999</c:v>
                </c:pt>
                <c:pt idx="2">
                  <c:v>8787.3345000000008</c:v>
                </c:pt>
                <c:pt idx="3">
                  <c:v>8788.9904999999999</c:v>
                </c:pt>
                <c:pt idx="4">
                  <c:v>7987.5855000000001</c:v>
                </c:pt>
                <c:pt idx="5">
                  <c:v>7924.9735000000001</c:v>
                </c:pt>
                <c:pt idx="6">
                  <c:v>7766.5684999999994</c:v>
                </c:pt>
                <c:pt idx="7">
                  <c:v>7197.5975000000008</c:v>
                </c:pt>
                <c:pt idx="8">
                  <c:v>6656.3795</c:v>
                </c:pt>
                <c:pt idx="9">
                  <c:v>7159.9105</c:v>
                </c:pt>
                <c:pt idx="10">
                  <c:v>6982.8935000000001</c:v>
                </c:pt>
                <c:pt idx="11">
                  <c:v>7747.6295</c:v>
                </c:pt>
                <c:pt idx="12">
                  <c:v>6706.6444999999994</c:v>
                </c:pt>
                <c:pt idx="13">
                  <c:v>6746.6804999999995</c:v>
                </c:pt>
                <c:pt idx="14">
                  <c:v>6415.0285000000003</c:v>
                </c:pt>
                <c:pt idx="15">
                  <c:v>6132.4594999999999</c:v>
                </c:pt>
                <c:pt idx="16">
                  <c:v>5984.5335000000005</c:v>
                </c:pt>
                <c:pt idx="17">
                  <c:v>6563.5095000000001</c:v>
                </c:pt>
                <c:pt idx="18">
                  <c:v>6981.2194999999992</c:v>
                </c:pt>
                <c:pt idx="19">
                  <c:v>7263.5735000000004</c:v>
                </c:pt>
                <c:pt idx="20">
                  <c:v>7035.5704999999998</c:v>
                </c:pt>
                <c:pt idx="21">
                  <c:v>6908.3404999999993</c:v>
                </c:pt>
                <c:pt idx="22">
                  <c:v>7032.5734999999995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D-44B1-87D2-DC6305CA1692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FEB'!$A$34:$A$56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</c:numCache>
            </c:numRef>
          </c:cat>
          <c:val>
            <c:numRef>
              <c:f>'KAPASITAS FEB'!$E$34:$E$56</c:f>
              <c:numCache>
                <c:formatCode>_(* #,##0_);_(* \(#,##0\);_(* "-"??_);_(@_)</c:formatCode>
                <c:ptCount val="23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  <c:pt idx="12">
                  <c:v>12000</c:v>
                </c:pt>
                <c:pt idx="13">
                  <c:v>12000</c:v>
                </c:pt>
                <c:pt idx="14">
                  <c:v>12000</c:v>
                </c:pt>
                <c:pt idx="15">
                  <c:v>12000</c:v>
                </c:pt>
                <c:pt idx="16">
                  <c:v>12000</c:v>
                </c:pt>
                <c:pt idx="17">
                  <c:v>12000</c:v>
                </c:pt>
                <c:pt idx="18">
                  <c:v>12000</c:v>
                </c:pt>
                <c:pt idx="19">
                  <c:v>12000</c:v>
                </c:pt>
                <c:pt idx="20">
                  <c:v>12000</c:v>
                </c:pt>
                <c:pt idx="21">
                  <c:v>12000</c:v>
                </c:pt>
                <c:pt idx="22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D-44B1-87D2-DC6305CA1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40448"/>
        <c:axId val="103242368"/>
      </c:lineChart>
      <c:catAx>
        <c:axId val="1032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2368"/>
        <c:crosses val="autoZero"/>
        <c:auto val="1"/>
        <c:lblAlgn val="ctr"/>
        <c:lblOffset val="100"/>
        <c:noMultiLvlLbl val="0"/>
      </c:catAx>
      <c:valAx>
        <c:axId val="103242368"/>
        <c:scaling>
          <c:orientation val="minMax"/>
          <c:max val="1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0448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CRC (layout + transit)</a:t>
            </a:r>
          </a:p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MARET</a:t>
            </a:r>
            <a:r>
              <a:rPr lang="en-US" b="1" baseline="0"/>
              <a:t>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FF0000"/>
              </a:solidFill>
            </c:spPr>
          </c:marker>
          <c:cat>
            <c:numRef>
              <c:f>'KAPASITAS MAR'!$A$4:$A$21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28</c:v>
                </c:pt>
                <c:pt idx="16">
                  <c:v>30</c:v>
                </c:pt>
                <c:pt idx="17">
                  <c:v>31</c:v>
                </c:pt>
              </c:numCache>
            </c:numRef>
          </c:cat>
          <c:val>
            <c:numRef>
              <c:f>'KAPASITAS MAR'!$D$4:$D$21</c:f>
              <c:numCache>
                <c:formatCode>#,##0</c:formatCode>
                <c:ptCount val="18"/>
                <c:pt idx="0">
                  <c:v>2635.6660000000002</c:v>
                </c:pt>
                <c:pt idx="1">
                  <c:v>3105.09</c:v>
                </c:pt>
                <c:pt idx="2">
                  <c:v>3002.3890000000001</c:v>
                </c:pt>
                <c:pt idx="3">
                  <c:v>3095.4450000000002</c:v>
                </c:pt>
                <c:pt idx="4">
                  <c:v>2560.2690000000002</c:v>
                </c:pt>
                <c:pt idx="5">
                  <c:v>2189.0209999999997</c:v>
                </c:pt>
                <c:pt idx="6">
                  <c:v>1572.2919999999999</c:v>
                </c:pt>
                <c:pt idx="7">
                  <c:v>1677.4639999999999</c:v>
                </c:pt>
                <c:pt idx="8">
                  <c:v>1753.1689999999999</c:v>
                </c:pt>
                <c:pt idx="9">
                  <c:v>2327.8339999999998</c:v>
                </c:pt>
                <c:pt idx="10">
                  <c:v>2327.8339999999998</c:v>
                </c:pt>
                <c:pt idx="11">
                  <c:v>3466.5920000000001</c:v>
                </c:pt>
                <c:pt idx="12">
                  <c:v>2142.2330000000002</c:v>
                </c:pt>
                <c:pt idx="13">
                  <c:v>1539.645</c:v>
                </c:pt>
                <c:pt idx="14">
                  <c:v>546.77800000000002</c:v>
                </c:pt>
                <c:pt idx="15">
                  <c:v>705.37300000000005</c:v>
                </c:pt>
                <c:pt idx="16">
                  <c:v>922.37</c:v>
                </c:pt>
                <c:pt idx="17">
                  <c:v>1784.538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B-4722-B255-31F324C20698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MAR'!$A$4:$A$21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28</c:v>
                </c:pt>
                <c:pt idx="16">
                  <c:v>30</c:v>
                </c:pt>
                <c:pt idx="17">
                  <c:v>31</c:v>
                </c:pt>
              </c:numCache>
            </c:numRef>
          </c:cat>
          <c:val>
            <c:numRef>
              <c:f>'KAPASITAS MAR'!$E$4:$E$21</c:f>
              <c:numCache>
                <c:formatCode>_(* #,##0_);_(* \(#,##0\);_(* "-"??_);_(@_)</c:formatCode>
                <c:ptCount val="18"/>
                <c:pt idx="0">
                  <c:v>6760</c:v>
                </c:pt>
                <c:pt idx="1">
                  <c:v>6760</c:v>
                </c:pt>
                <c:pt idx="2">
                  <c:v>6760</c:v>
                </c:pt>
                <c:pt idx="3">
                  <c:v>6760</c:v>
                </c:pt>
                <c:pt idx="4">
                  <c:v>6760</c:v>
                </c:pt>
                <c:pt idx="5">
                  <c:v>6760</c:v>
                </c:pt>
                <c:pt idx="6">
                  <c:v>6760</c:v>
                </c:pt>
                <c:pt idx="7">
                  <c:v>6760</c:v>
                </c:pt>
                <c:pt idx="8">
                  <c:v>6760</c:v>
                </c:pt>
                <c:pt idx="9">
                  <c:v>6760</c:v>
                </c:pt>
                <c:pt idx="10">
                  <c:v>6760</c:v>
                </c:pt>
                <c:pt idx="11">
                  <c:v>6760</c:v>
                </c:pt>
                <c:pt idx="12">
                  <c:v>6760</c:v>
                </c:pt>
                <c:pt idx="13">
                  <c:v>6760</c:v>
                </c:pt>
                <c:pt idx="14">
                  <c:v>6760</c:v>
                </c:pt>
                <c:pt idx="15">
                  <c:v>6760</c:v>
                </c:pt>
                <c:pt idx="16">
                  <c:v>6760</c:v>
                </c:pt>
                <c:pt idx="17">
                  <c:v>6760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3B-4722-B255-31F324C20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85024"/>
        <c:axId val="103187200"/>
      </c:lineChart>
      <c:catAx>
        <c:axId val="10318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7200"/>
        <c:crosses val="autoZero"/>
        <c:auto val="1"/>
        <c:lblAlgn val="ctr"/>
        <c:lblOffset val="100"/>
        <c:noMultiLvlLbl val="0"/>
      </c:catAx>
      <c:valAx>
        <c:axId val="1031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STOCK BARANG JADI L3, L8 &amp; Sentosa -</a:t>
            </a:r>
            <a:r>
              <a:rPr lang="en-US" b="1" baseline="0"/>
              <a:t> MARET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0070C0"/>
              </a:solidFill>
            </c:spPr>
          </c:marker>
          <c:cat>
            <c:numRef>
              <c:f>'KAPASITAS MAR'!$A$29:$A$46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28</c:v>
                </c:pt>
                <c:pt idx="16">
                  <c:v>30</c:v>
                </c:pt>
                <c:pt idx="17">
                  <c:v>31</c:v>
                </c:pt>
              </c:numCache>
            </c:numRef>
          </c:cat>
          <c:val>
            <c:numRef>
              <c:f>'KAPASITAS MAR'!$D$29:$D$46</c:f>
              <c:numCache>
                <c:formatCode>#,##0</c:formatCode>
                <c:ptCount val="18"/>
                <c:pt idx="0">
                  <c:v>6993.1615000000002</c:v>
                </c:pt>
                <c:pt idx="1">
                  <c:v>7224.3305</c:v>
                </c:pt>
                <c:pt idx="2">
                  <c:v>6577.6534999999994</c:v>
                </c:pt>
                <c:pt idx="3">
                  <c:v>6199.9585000000006</c:v>
                </c:pt>
                <c:pt idx="4">
                  <c:v>6257.5969999999998</c:v>
                </c:pt>
                <c:pt idx="5">
                  <c:v>6520.6190000000006</c:v>
                </c:pt>
                <c:pt idx="6">
                  <c:v>7011.7579999999998</c:v>
                </c:pt>
                <c:pt idx="7">
                  <c:v>6596.5459999999994</c:v>
                </c:pt>
                <c:pt idx="8">
                  <c:v>6456.13</c:v>
                </c:pt>
                <c:pt idx="9">
                  <c:v>6137.134</c:v>
                </c:pt>
                <c:pt idx="10">
                  <c:v>5964.0109999999995</c:v>
                </c:pt>
                <c:pt idx="11">
                  <c:v>6078.8869999999997</c:v>
                </c:pt>
                <c:pt idx="12">
                  <c:v>7475.89</c:v>
                </c:pt>
                <c:pt idx="13">
                  <c:v>7126.326</c:v>
                </c:pt>
                <c:pt idx="14">
                  <c:v>8686.5399999999991</c:v>
                </c:pt>
                <c:pt idx="15">
                  <c:v>8603.8449999999993</c:v>
                </c:pt>
                <c:pt idx="16">
                  <c:v>8052.3329999999996</c:v>
                </c:pt>
                <c:pt idx="17">
                  <c:v>6675.1149999999998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F4-4A4B-8228-2941611F7A5B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MAR'!$A$29:$A$46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28</c:v>
                </c:pt>
                <c:pt idx="16">
                  <c:v>30</c:v>
                </c:pt>
                <c:pt idx="17">
                  <c:v>31</c:v>
                </c:pt>
              </c:numCache>
            </c:numRef>
          </c:cat>
          <c:val>
            <c:numRef>
              <c:f>'KAPASITAS MAR'!$E$29:$E$46</c:f>
              <c:numCache>
                <c:formatCode>_(* #,##0_);_(* \(#,##0\);_(* "-"??_);_(@_)</c:formatCode>
                <c:ptCount val="18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  <c:pt idx="12">
                  <c:v>12000</c:v>
                </c:pt>
                <c:pt idx="13">
                  <c:v>12000</c:v>
                </c:pt>
                <c:pt idx="14">
                  <c:v>12000</c:v>
                </c:pt>
                <c:pt idx="15">
                  <c:v>12000</c:v>
                </c:pt>
                <c:pt idx="16">
                  <c:v>12000</c:v>
                </c:pt>
                <c:pt idx="17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F4-4A4B-8228-2941611F7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40448"/>
        <c:axId val="103242368"/>
      </c:lineChart>
      <c:catAx>
        <c:axId val="1032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2368"/>
        <c:crosses val="autoZero"/>
        <c:auto val="1"/>
        <c:lblAlgn val="ctr"/>
        <c:lblOffset val="100"/>
        <c:noMultiLvlLbl val="0"/>
      </c:catAx>
      <c:valAx>
        <c:axId val="103242368"/>
        <c:scaling>
          <c:orientation val="minMax"/>
          <c:max val="1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0448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CRC (layout + transit)</a:t>
            </a:r>
          </a:p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APRIL</a:t>
            </a:r>
            <a:r>
              <a:rPr lang="en-US" b="1" baseline="0"/>
              <a:t>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FF0000"/>
              </a:solidFill>
            </c:spPr>
          </c:marker>
          <c:cat>
            <c:numRef>
              <c:f>'KAPASITAS APR'!$A$4:$A$28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cat>
          <c:val>
            <c:numRef>
              <c:f>'KAPASITAS APR'!$D$4:$D$28</c:f>
              <c:numCache>
                <c:formatCode>#,##0</c:formatCode>
                <c:ptCount val="25"/>
                <c:pt idx="0">
                  <c:v>2965.2790000000005</c:v>
                </c:pt>
                <c:pt idx="1">
                  <c:v>1635.0220000000002</c:v>
                </c:pt>
                <c:pt idx="2">
                  <c:v>2345.8789999999999</c:v>
                </c:pt>
                <c:pt idx="3">
                  <c:v>2418.9580000000001</c:v>
                </c:pt>
                <c:pt idx="4">
                  <c:v>1947.0360000000001</c:v>
                </c:pt>
                <c:pt idx="5">
                  <c:v>2197.1880000000001</c:v>
                </c:pt>
                <c:pt idx="6">
                  <c:v>2568.1979999999999</c:v>
                </c:pt>
                <c:pt idx="7">
                  <c:v>2220.931</c:v>
                </c:pt>
                <c:pt idx="8">
                  <c:v>2046.2079999999999</c:v>
                </c:pt>
                <c:pt idx="9">
                  <c:v>3006.788</c:v>
                </c:pt>
                <c:pt idx="10">
                  <c:v>2125.643</c:v>
                </c:pt>
                <c:pt idx="11">
                  <c:v>2016.4840000000002</c:v>
                </c:pt>
                <c:pt idx="12">
                  <c:v>2067.8319999999999</c:v>
                </c:pt>
                <c:pt idx="13">
                  <c:v>2402.279</c:v>
                </c:pt>
                <c:pt idx="14">
                  <c:v>2434.4540000000002</c:v>
                </c:pt>
                <c:pt idx="15">
                  <c:v>2136.6959999999999</c:v>
                </c:pt>
                <c:pt idx="16">
                  <c:v>2229.0119999999997</c:v>
                </c:pt>
                <c:pt idx="17">
                  <c:v>2233.9660000000003</c:v>
                </c:pt>
                <c:pt idx="18">
                  <c:v>3857.0540000000001</c:v>
                </c:pt>
                <c:pt idx="19">
                  <c:v>3428.518</c:v>
                </c:pt>
                <c:pt idx="20">
                  <c:v>3733.7370000000001</c:v>
                </c:pt>
                <c:pt idx="21">
                  <c:v>3479.2329999999997</c:v>
                </c:pt>
                <c:pt idx="22">
                  <c:v>3158.808</c:v>
                </c:pt>
                <c:pt idx="23">
                  <c:v>2681.373</c:v>
                </c:pt>
                <c:pt idx="24">
                  <c:v>3831.2919999999999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64-4E0A-AF6B-BBEE22623DE2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APR'!$A$4:$A$28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cat>
          <c:val>
            <c:numRef>
              <c:f>'KAPASITAS APR'!$E$4:$E$28</c:f>
              <c:numCache>
                <c:formatCode>_(* #,##0_);_(* \(#,##0\);_(* "-"??_);_(@_)</c:formatCode>
                <c:ptCount val="25"/>
                <c:pt idx="0">
                  <c:v>6760</c:v>
                </c:pt>
                <c:pt idx="1">
                  <c:v>6760</c:v>
                </c:pt>
                <c:pt idx="2">
                  <c:v>6760</c:v>
                </c:pt>
                <c:pt idx="3">
                  <c:v>6760</c:v>
                </c:pt>
                <c:pt idx="4">
                  <c:v>6760</c:v>
                </c:pt>
                <c:pt idx="5">
                  <c:v>6760</c:v>
                </c:pt>
                <c:pt idx="6">
                  <c:v>6760</c:v>
                </c:pt>
                <c:pt idx="7">
                  <c:v>6760</c:v>
                </c:pt>
                <c:pt idx="8">
                  <c:v>6760</c:v>
                </c:pt>
                <c:pt idx="9">
                  <c:v>6760</c:v>
                </c:pt>
                <c:pt idx="10">
                  <c:v>6760</c:v>
                </c:pt>
                <c:pt idx="11">
                  <c:v>6760</c:v>
                </c:pt>
                <c:pt idx="12">
                  <c:v>6760</c:v>
                </c:pt>
                <c:pt idx="13">
                  <c:v>6760</c:v>
                </c:pt>
                <c:pt idx="14">
                  <c:v>6760</c:v>
                </c:pt>
                <c:pt idx="15">
                  <c:v>6760</c:v>
                </c:pt>
                <c:pt idx="16">
                  <c:v>6760</c:v>
                </c:pt>
                <c:pt idx="17">
                  <c:v>6760</c:v>
                </c:pt>
                <c:pt idx="18">
                  <c:v>6760</c:v>
                </c:pt>
                <c:pt idx="19">
                  <c:v>6760</c:v>
                </c:pt>
                <c:pt idx="20">
                  <c:v>6760</c:v>
                </c:pt>
                <c:pt idx="21">
                  <c:v>6760</c:v>
                </c:pt>
                <c:pt idx="22">
                  <c:v>6760</c:v>
                </c:pt>
                <c:pt idx="23">
                  <c:v>6760</c:v>
                </c:pt>
                <c:pt idx="24">
                  <c:v>6760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64-4E0A-AF6B-BBEE22623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85024"/>
        <c:axId val="103187200"/>
      </c:lineChart>
      <c:catAx>
        <c:axId val="10318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7200"/>
        <c:crosses val="autoZero"/>
        <c:auto val="1"/>
        <c:lblAlgn val="ctr"/>
        <c:lblOffset val="100"/>
        <c:noMultiLvlLbl val="0"/>
      </c:catAx>
      <c:valAx>
        <c:axId val="1031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STOCK BARANG JADI L3, L8 &amp; Sentosa -</a:t>
            </a:r>
            <a:r>
              <a:rPr lang="en-US" b="1" baseline="0"/>
              <a:t> APRIL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0070C0"/>
              </a:solidFill>
            </c:spPr>
          </c:marker>
          <c:cat>
            <c:numRef>
              <c:f>'KAPASITAS APR'!$A$36:$A$60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cat>
          <c:val>
            <c:numRef>
              <c:f>'KAPASITAS APR'!$D$36:$D$60</c:f>
              <c:numCache>
                <c:formatCode>#,##0</c:formatCode>
                <c:ptCount val="25"/>
                <c:pt idx="0">
                  <c:v>8052.9120000000003</c:v>
                </c:pt>
                <c:pt idx="1">
                  <c:v>8333.3070000000007</c:v>
                </c:pt>
                <c:pt idx="2">
                  <c:v>8571.4040000000005</c:v>
                </c:pt>
                <c:pt idx="3">
                  <c:v>9844.8260000000009</c:v>
                </c:pt>
                <c:pt idx="4">
                  <c:v>9628.3920000000016</c:v>
                </c:pt>
                <c:pt idx="5">
                  <c:v>10043.286</c:v>
                </c:pt>
                <c:pt idx="6">
                  <c:v>9890.9570000000003</c:v>
                </c:pt>
                <c:pt idx="7">
                  <c:v>9843.5789999999997</c:v>
                </c:pt>
                <c:pt idx="8">
                  <c:v>9970.7479999999996</c:v>
                </c:pt>
                <c:pt idx="9">
                  <c:v>10815.368999999999</c:v>
                </c:pt>
                <c:pt idx="10">
                  <c:v>10474.231</c:v>
                </c:pt>
                <c:pt idx="11">
                  <c:v>9786.7819999999992</c:v>
                </c:pt>
                <c:pt idx="12">
                  <c:v>9152.9249999999993</c:v>
                </c:pt>
                <c:pt idx="13">
                  <c:v>8411.0560000000005</c:v>
                </c:pt>
                <c:pt idx="14">
                  <c:v>8182.741</c:v>
                </c:pt>
                <c:pt idx="15">
                  <c:v>9208.6080000000002</c:v>
                </c:pt>
                <c:pt idx="16">
                  <c:v>9090.6460000000006</c:v>
                </c:pt>
                <c:pt idx="17">
                  <c:v>8953.3010000000013</c:v>
                </c:pt>
                <c:pt idx="18">
                  <c:v>9127.2420000000002</c:v>
                </c:pt>
                <c:pt idx="19">
                  <c:v>9444.0889999999999</c:v>
                </c:pt>
                <c:pt idx="20">
                  <c:v>9949.7939999999999</c:v>
                </c:pt>
                <c:pt idx="21">
                  <c:v>10674.12</c:v>
                </c:pt>
                <c:pt idx="22">
                  <c:v>10666.573</c:v>
                </c:pt>
                <c:pt idx="23">
                  <c:v>10277.243999999999</c:v>
                </c:pt>
                <c:pt idx="24">
                  <c:v>9775.3230000000003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4-47E5-B544-F391D6ED2345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APR'!$A$36:$A$60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cat>
          <c:val>
            <c:numRef>
              <c:f>'KAPASITAS APR'!$E$36:$E$60</c:f>
              <c:numCache>
                <c:formatCode>_(* #,##0_);_(* \(#,##0\);_(* "-"??_);_(@_)</c:formatCode>
                <c:ptCount val="25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  <c:pt idx="12">
                  <c:v>12000</c:v>
                </c:pt>
                <c:pt idx="13">
                  <c:v>12000</c:v>
                </c:pt>
                <c:pt idx="14">
                  <c:v>12000</c:v>
                </c:pt>
                <c:pt idx="15">
                  <c:v>12000</c:v>
                </c:pt>
                <c:pt idx="16">
                  <c:v>12000</c:v>
                </c:pt>
                <c:pt idx="17">
                  <c:v>12000</c:v>
                </c:pt>
                <c:pt idx="18">
                  <c:v>12000</c:v>
                </c:pt>
                <c:pt idx="19">
                  <c:v>12000</c:v>
                </c:pt>
                <c:pt idx="20">
                  <c:v>12000</c:v>
                </c:pt>
                <c:pt idx="21">
                  <c:v>12000</c:v>
                </c:pt>
                <c:pt idx="22">
                  <c:v>12000</c:v>
                </c:pt>
                <c:pt idx="23">
                  <c:v>12000</c:v>
                </c:pt>
                <c:pt idx="24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4-47E5-B544-F391D6ED2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40448"/>
        <c:axId val="103242368"/>
      </c:lineChart>
      <c:catAx>
        <c:axId val="1032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2368"/>
        <c:crosses val="autoZero"/>
        <c:auto val="1"/>
        <c:lblAlgn val="ctr"/>
        <c:lblOffset val="100"/>
        <c:noMultiLvlLbl val="0"/>
      </c:catAx>
      <c:valAx>
        <c:axId val="103242368"/>
        <c:scaling>
          <c:orientation val="minMax"/>
          <c:max val="1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0448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CRC (layout + transit)</a:t>
            </a:r>
          </a:p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MEI</a:t>
            </a:r>
            <a:r>
              <a:rPr lang="en-US" b="1" baseline="0"/>
              <a:t>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FF0000"/>
              </a:solidFill>
            </c:spPr>
          </c:marker>
          <c:cat>
            <c:numRef>
              <c:f>'KAPASITAS MEI'!$A$4:$A$26</c:f>
              <c:numCache>
                <c:formatCode>General</c:formatCode>
                <c:ptCount val="23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26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</c:numCache>
            </c:numRef>
          </c:cat>
          <c:val>
            <c:numRef>
              <c:f>'KAPASITAS MEI'!$D$4:$D$26</c:f>
              <c:numCache>
                <c:formatCode>#,##0</c:formatCode>
                <c:ptCount val="23"/>
                <c:pt idx="0">
                  <c:v>5509.8340000000007</c:v>
                </c:pt>
                <c:pt idx="1">
                  <c:v>5414.6970000000001</c:v>
                </c:pt>
                <c:pt idx="2">
                  <c:v>6694.9270000000006</c:v>
                </c:pt>
                <c:pt idx="3">
                  <c:v>5893.1869999999999</c:v>
                </c:pt>
                <c:pt idx="4">
                  <c:v>4900.9430000000002</c:v>
                </c:pt>
                <c:pt idx="5">
                  <c:v>7829.567</c:v>
                </c:pt>
                <c:pt idx="6">
                  <c:v>8677.7119999999995</c:v>
                </c:pt>
                <c:pt idx="7">
                  <c:v>7634.5630000000001</c:v>
                </c:pt>
                <c:pt idx="8">
                  <c:v>7769.5329999999994</c:v>
                </c:pt>
                <c:pt idx="9">
                  <c:v>7005.1419999999998</c:v>
                </c:pt>
                <c:pt idx="10">
                  <c:v>6628.4240000000009</c:v>
                </c:pt>
                <c:pt idx="11">
                  <c:v>6179.4840000000004</c:v>
                </c:pt>
                <c:pt idx="12">
                  <c:v>6056.6900000000005</c:v>
                </c:pt>
                <c:pt idx="13">
                  <c:v>5922.15</c:v>
                </c:pt>
                <c:pt idx="14">
                  <c:v>5932.9049999999997</c:v>
                </c:pt>
                <c:pt idx="15">
                  <c:v>5239.32</c:v>
                </c:pt>
                <c:pt idx="16">
                  <c:v>4720.2350000000006</c:v>
                </c:pt>
                <c:pt idx="17">
                  <c:v>5003.82</c:v>
                </c:pt>
                <c:pt idx="18">
                  <c:v>4142.5650000000005</c:v>
                </c:pt>
                <c:pt idx="19">
                  <c:v>4422.9549999999999</c:v>
                </c:pt>
                <c:pt idx="20">
                  <c:v>3215.7550000000001</c:v>
                </c:pt>
                <c:pt idx="21">
                  <c:v>3333.01</c:v>
                </c:pt>
                <c:pt idx="22">
                  <c:v>3904.58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9-4D8F-8296-75250E328977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MEI'!$A$4:$A$26</c:f>
              <c:numCache>
                <c:formatCode>General</c:formatCode>
                <c:ptCount val="23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26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</c:numCache>
            </c:numRef>
          </c:cat>
          <c:val>
            <c:numRef>
              <c:f>'KAPASITAS MEI'!$E$4:$E$26</c:f>
              <c:numCache>
                <c:formatCode>_(* #,##0_);_(* \(#,##0\);_(* "-"??_);_(@_)</c:formatCode>
                <c:ptCount val="23"/>
                <c:pt idx="0">
                  <c:v>6760</c:v>
                </c:pt>
                <c:pt idx="1">
                  <c:v>6760</c:v>
                </c:pt>
                <c:pt idx="2">
                  <c:v>6760</c:v>
                </c:pt>
                <c:pt idx="3">
                  <c:v>6760</c:v>
                </c:pt>
                <c:pt idx="4">
                  <c:v>6760</c:v>
                </c:pt>
                <c:pt idx="5">
                  <c:v>6760</c:v>
                </c:pt>
                <c:pt idx="6">
                  <c:v>6760</c:v>
                </c:pt>
                <c:pt idx="7">
                  <c:v>6760</c:v>
                </c:pt>
                <c:pt idx="8">
                  <c:v>6760</c:v>
                </c:pt>
                <c:pt idx="9">
                  <c:v>6760</c:v>
                </c:pt>
                <c:pt idx="10">
                  <c:v>6760</c:v>
                </c:pt>
                <c:pt idx="11">
                  <c:v>6760</c:v>
                </c:pt>
                <c:pt idx="12">
                  <c:v>6760</c:v>
                </c:pt>
                <c:pt idx="13">
                  <c:v>6760</c:v>
                </c:pt>
                <c:pt idx="14">
                  <c:v>6760</c:v>
                </c:pt>
                <c:pt idx="15">
                  <c:v>6760</c:v>
                </c:pt>
                <c:pt idx="16">
                  <c:v>6760</c:v>
                </c:pt>
                <c:pt idx="17">
                  <c:v>6760</c:v>
                </c:pt>
                <c:pt idx="18">
                  <c:v>6760</c:v>
                </c:pt>
                <c:pt idx="19">
                  <c:v>6760</c:v>
                </c:pt>
                <c:pt idx="20">
                  <c:v>6760</c:v>
                </c:pt>
                <c:pt idx="21">
                  <c:v>6760</c:v>
                </c:pt>
                <c:pt idx="22">
                  <c:v>6760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9-4D8F-8296-75250E328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85024"/>
        <c:axId val="103187200"/>
      </c:lineChart>
      <c:catAx>
        <c:axId val="10318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7200"/>
        <c:crosses val="autoZero"/>
        <c:auto val="1"/>
        <c:lblAlgn val="ctr"/>
        <c:lblOffset val="100"/>
        <c:noMultiLvlLbl val="0"/>
      </c:catAx>
      <c:valAx>
        <c:axId val="1031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STOCK BARANG JADI L3, L8 &amp; Sentosa -</a:t>
            </a:r>
            <a:r>
              <a:rPr lang="en-US" b="1" baseline="0"/>
              <a:t> MEI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0070C0"/>
              </a:solidFill>
            </c:spPr>
          </c:marker>
          <c:cat>
            <c:numRef>
              <c:f>'KAPASITAS MEI'!$A$34:$A$56</c:f>
              <c:numCache>
                <c:formatCode>General</c:formatCode>
                <c:ptCount val="23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26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</c:numCache>
            </c:numRef>
          </c:cat>
          <c:val>
            <c:numRef>
              <c:f>'KAPASITAS MEI'!$D$34:$D$56</c:f>
              <c:numCache>
                <c:formatCode>#,##0</c:formatCode>
                <c:ptCount val="23"/>
                <c:pt idx="0">
                  <c:v>10995.307000000001</c:v>
                </c:pt>
                <c:pt idx="1">
                  <c:v>11311.992999999999</c:v>
                </c:pt>
                <c:pt idx="2">
                  <c:v>12237.064999999999</c:v>
                </c:pt>
                <c:pt idx="3">
                  <c:v>11742.156999999999</c:v>
                </c:pt>
                <c:pt idx="4">
                  <c:v>11783.687</c:v>
                </c:pt>
                <c:pt idx="5">
                  <c:v>12351.471</c:v>
                </c:pt>
                <c:pt idx="6">
                  <c:v>12118.082</c:v>
                </c:pt>
                <c:pt idx="7">
                  <c:v>12792.064999999999</c:v>
                </c:pt>
                <c:pt idx="8">
                  <c:v>12335.155000000001</c:v>
                </c:pt>
                <c:pt idx="9">
                  <c:v>12717.895999999999</c:v>
                </c:pt>
                <c:pt idx="10">
                  <c:v>12635.502999999999</c:v>
                </c:pt>
                <c:pt idx="11">
                  <c:v>12483.596</c:v>
                </c:pt>
                <c:pt idx="12">
                  <c:v>13857.122000000001</c:v>
                </c:pt>
                <c:pt idx="13">
                  <c:v>14160.235000000001</c:v>
                </c:pt>
                <c:pt idx="14">
                  <c:v>13693.99</c:v>
                </c:pt>
                <c:pt idx="15">
                  <c:v>13799.529999999999</c:v>
                </c:pt>
                <c:pt idx="16">
                  <c:v>13834.041000000001</c:v>
                </c:pt>
                <c:pt idx="17">
                  <c:v>13777.893</c:v>
                </c:pt>
                <c:pt idx="18">
                  <c:v>14767.302</c:v>
                </c:pt>
                <c:pt idx="19">
                  <c:v>13406.433999999999</c:v>
                </c:pt>
                <c:pt idx="20">
                  <c:v>13243.008</c:v>
                </c:pt>
                <c:pt idx="21">
                  <c:v>9921.8040000000001</c:v>
                </c:pt>
                <c:pt idx="22">
                  <c:v>11470.347000000002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D2-4698-9A9B-6F54BA81CAB5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MEI'!$A$34:$A$56</c:f>
              <c:numCache>
                <c:formatCode>General</c:formatCode>
                <c:ptCount val="23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25</c:v>
                </c:pt>
                <c:pt idx="19">
                  <c:v>26</c:v>
                </c:pt>
                <c:pt idx="20">
                  <c:v>28</c:v>
                </c:pt>
                <c:pt idx="21">
                  <c:v>29</c:v>
                </c:pt>
                <c:pt idx="22">
                  <c:v>30</c:v>
                </c:pt>
              </c:numCache>
            </c:numRef>
          </c:cat>
          <c:val>
            <c:numRef>
              <c:f>'KAPASITAS MEI'!$E$34:$E$56</c:f>
              <c:numCache>
                <c:formatCode>_(* #,##0_);_(* \(#,##0\);_(* "-"??_);_(@_)</c:formatCode>
                <c:ptCount val="23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  <c:pt idx="12">
                  <c:v>12000</c:v>
                </c:pt>
                <c:pt idx="13">
                  <c:v>12000</c:v>
                </c:pt>
                <c:pt idx="14">
                  <c:v>12000</c:v>
                </c:pt>
                <c:pt idx="15">
                  <c:v>12000</c:v>
                </c:pt>
                <c:pt idx="16">
                  <c:v>12000</c:v>
                </c:pt>
                <c:pt idx="17">
                  <c:v>12000</c:v>
                </c:pt>
                <c:pt idx="18">
                  <c:v>12000</c:v>
                </c:pt>
                <c:pt idx="19">
                  <c:v>12000</c:v>
                </c:pt>
                <c:pt idx="20">
                  <c:v>12000</c:v>
                </c:pt>
                <c:pt idx="21">
                  <c:v>12000</c:v>
                </c:pt>
                <c:pt idx="22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D2-4698-9A9B-6F54BA81C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40448"/>
        <c:axId val="103242368"/>
      </c:lineChart>
      <c:catAx>
        <c:axId val="1032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2368"/>
        <c:crosses val="autoZero"/>
        <c:auto val="1"/>
        <c:lblAlgn val="ctr"/>
        <c:lblOffset val="100"/>
        <c:noMultiLvlLbl val="0"/>
      </c:catAx>
      <c:valAx>
        <c:axId val="103242368"/>
        <c:scaling>
          <c:orientation val="minMax"/>
          <c:max val="1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0448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CRC (layout + transit)</a:t>
            </a:r>
          </a:p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JUNI</a:t>
            </a:r>
            <a:r>
              <a:rPr lang="en-US" b="1" baseline="0"/>
              <a:t>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FF0000"/>
              </a:solidFill>
            </c:spPr>
          </c:marker>
          <c:cat>
            <c:numRef>
              <c:f>'KAPASITAS JUNI'!$A$4:$A$26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29</c:v>
                </c:pt>
              </c:numCache>
            </c:numRef>
          </c:cat>
          <c:val>
            <c:numRef>
              <c:f>'KAPASITAS JUNI'!$D$4:$D$26</c:f>
              <c:numCache>
                <c:formatCode>#,##0</c:formatCode>
                <c:ptCount val="23"/>
                <c:pt idx="0">
                  <c:v>4731.3440000000001</c:v>
                </c:pt>
                <c:pt idx="1">
                  <c:v>4057.7339999999999</c:v>
                </c:pt>
                <c:pt idx="2">
                  <c:v>3412.922</c:v>
                </c:pt>
                <c:pt idx="3">
                  <c:v>3081.6170000000002</c:v>
                </c:pt>
                <c:pt idx="4">
                  <c:v>3097.6320000000001</c:v>
                </c:pt>
                <c:pt idx="5">
                  <c:v>3447.4319999999998</c:v>
                </c:pt>
                <c:pt idx="6">
                  <c:v>3374.1689999999999</c:v>
                </c:pt>
                <c:pt idx="7">
                  <c:v>3771.1260000000002</c:v>
                </c:pt>
                <c:pt idx="8">
                  <c:v>3676.81</c:v>
                </c:pt>
                <c:pt idx="9">
                  <c:v>3520.3280000000004</c:v>
                </c:pt>
                <c:pt idx="10">
                  <c:v>3763.4250000000002</c:v>
                </c:pt>
                <c:pt idx="11">
                  <c:v>5808.5119999999997</c:v>
                </c:pt>
                <c:pt idx="12">
                  <c:v>7258.7150000000001</c:v>
                </c:pt>
                <c:pt idx="13">
                  <c:v>7628.875</c:v>
                </c:pt>
                <c:pt idx="14">
                  <c:v>7528.6930000000002</c:v>
                </c:pt>
                <c:pt idx="15">
                  <c:v>7785.8770000000004</c:v>
                </c:pt>
                <c:pt idx="16">
                  <c:v>8065.8449999999993</c:v>
                </c:pt>
                <c:pt idx="17">
                  <c:v>8338.3850000000002</c:v>
                </c:pt>
                <c:pt idx="18">
                  <c:v>8769.8549999999996</c:v>
                </c:pt>
                <c:pt idx="19">
                  <c:v>8136.8980000000001</c:v>
                </c:pt>
                <c:pt idx="20">
                  <c:v>8201.7119999999995</c:v>
                </c:pt>
                <c:pt idx="21">
                  <c:v>8472.732</c:v>
                </c:pt>
                <c:pt idx="22">
                  <c:v>7959.5910000000003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5-47A2-9914-99FBE6D407A7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JUNI'!$A$4:$A$26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29</c:v>
                </c:pt>
              </c:numCache>
            </c:numRef>
          </c:cat>
          <c:val>
            <c:numRef>
              <c:f>'KAPASITAS JUNI'!$E$4:$E$26</c:f>
              <c:numCache>
                <c:formatCode>_(* #,##0_);_(* \(#,##0\);_(* "-"??_);_(@_)</c:formatCode>
                <c:ptCount val="23"/>
                <c:pt idx="0">
                  <c:v>6760</c:v>
                </c:pt>
                <c:pt idx="1">
                  <c:v>6760</c:v>
                </c:pt>
                <c:pt idx="2">
                  <c:v>6760</c:v>
                </c:pt>
                <c:pt idx="3">
                  <c:v>6760</c:v>
                </c:pt>
                <c:pt idx="4">
                  <c:v>6760</c:v>
                </c:pt>
                <c:pt idx="5">
                  <c:v>6760</c:v>
                </c:pt>
                <c:pt idx="6">
                  <c:v>6760</c:v>
                </c:pt>
                <c:pt idx="7">
                  <c:v>6760</c:v>
                </c:pt>
                <c:pt idx="8">
                  <c:v>6760</c:v>
                </c:pt>
                <c:pt idx="9">
                  <c:v>6760</c:v>
                </c:pt>
                <c:pt idx="10">
                  <c:v>6760</c:v>
                </c:pt>
                <c:pt idx="11">
                  <c:v>6760</c:v>
                </c:pt>
                <c:pt idx="12">
                  <c:v>6760</c:v>
                </c:pt>
                <c:pt idx="13">
                  <c:v>6760</c:v>
                </c:pt>
                <c:pt idx="14">
                  <c:v>6760</c:v>
                </c:pt>
                <c:pt idx="15">
                  <c:v>6760</c:v>
                </c:pt>
                <c:pt idx="16">
                  <c:v>6760</c:v>
                </c:pt>
                <c:pt idx="17">
                  <c:v>6760</c:v>
                </c:pt>
                <c:pt idx="18">
                  <c:v>6760</c:v>
                </c:pt>
                <c:pt idx="19">
                  <c:v>6760</c:v>
                </c:pt>
                <c:pt idx="20">
                  <c:v>6760</c:v>
                </c:pt>
                <c:pt idx="21">
                  <c:v>6760</c:v>
                </c:pt>
                <c:pt idx="22">
                  <c:v>6760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F5-47A2-9914-99FBE6D40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85024"/>
        <c:axId val="103187200"/>
      </c:lineChart>
      <c:catAx>
        <c:axId val="10318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7200"/>
        <c:crosses val="autoZero"/>
        <c:auto val="1"/>
        <c:lblAlgn val="ctr"/>
        <c:lblOffset val="100"/>
        <c:noMultiLvlLbl val="0"/>
      </c:catAx>
      <c:valAx>
        <c:axId val="1031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STOCK BARANG JADI L3, L8 &amp; Sentosa -</a:t>
            </a:r>
            <a:r>
              <a:rPr lang="en-US" b="1" baseline="0"/>
              <a:t> JUNI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0070C0"/>
              </a:solidFill>
            </c:spPr>
          </c:marker>
          <c:cat>
            <c:numRef>
              <c:f>'KAPASITAS JUNI'!$A$35:$A$57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29</c:v>
                </c:pt>
              </c:numCache>
            </c:numRef>
          </c:cat>
          <c:val>
            <c:numRef>
              <c:f>'KAPASITAS JUNI'!$D$35:$D$57</c:f>
              <c:numCache>
                <c:formatCode>#,##0</c:formatCode>
                <c:ptCount val="23"/>
                <c:pt idx="0">
                  <c:v>11388.338</c:v>
                </c:pt>
                <c:pt idx="1">
                  <c:v>11163.973</c:v>
                </c:pt>
                <c:pt idx="2">
                  <c:v>13903.052</c:v>
                </c:pt>
                <c:pt idx="3">
                  <c:v>13835.152</c:v>
                </c:pt>
                <c:pt idx="4">
                  <c:v>13965.111000000001</c:v>
                </c:pt>
                <c:pt idx="5">
                  <c:v>15429.672</c:v>
                </c:pt>
                <c:pt idx="6">
                  <c:v>15574.657999999999</c:v>
                </c:pt>
                <c:pt idx="7">
                  <c:v>14972.358</c:v>
                </c:pt>
                <c:pt idx="8">
                  <c:v>14484.407999999999</c:v>
                </c:pt>
                <c:pt idx="9">
                  <c:v>15015.326999999999</c:v>
                </c:pt>
                <c:pt idx="10">
                  <c:v>15275.848</c:v>
                </c:pt>
                <c:pt idx="11">
                  <c:v>14877.322999999999</c:v>
                </c:pt>
                <c:pt idx="12">
                  <c:v>14328.305999999999</c:v>
                </c:pt>
                <c:pt idx="13">
                  <c:v>13377.655000000001</c:v>
                </c:pt>
                <c:pt idx="14">
                  <c:v>13167.978999999999</c:v>
                </c:pt>
                <c:pt idx="15">
                  <c:v>12303.157999999999</c:v>
                </c:pt>
                <c:pt idx="16">
                  <c:v>12050.486999999999</c:v>
                </c:pt>
                <c:pt idx="17">
                  <c:v>11579.743</c:v>
                </c:pt>
                <c:pt idx="18">
                  <c:v>11109.099</c:v>
                </c:pt>
                <c:pt idx="19">
                  <c:v>11104.646000000001</c:v>
                </c:pt>
                <c:pt idx="20">
                  <c:v>11067.205</c:v>
                </c:pt>
                <c:pt idx="21">
                  <c:v>10901.482</c:v>
                </c:pt>
                <c:pt idx="22">
                  <c:v>11107.927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2A-4344-92E0-62754ACF82D1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JUNI'!$A$35:$A$57</c:f>
              <c:numCache>
                <c:formatCode>General</c:formatCode>
                <c:ptCount val="2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15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22</c:v>
                </c:pt>
                <c:pt idx="17">
                  <c:v>23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29</c:v>
                </c:pt>
              </c:numCache>
            </c:numRef>
          </c:cat>
          <c:val>
            <c:numRef>
              <c:f>'KAPASITAS JUNI'!$E$35:$E$57</c:f>
              <c:numCache>
                <c:formatCode>_(* #,##0_);_(* \(#,##0\);_(* "-"??_);_(@_)</c:formatCode>
                <c:ptCount val="23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  <c:pt idx="12">
                  <c:v>12000</c:v>
                </c:pt>
                <c:pt idx="13">
                  <c:v>12000</c:v>
                </c:pt>
                <c:pt idx="14">
                  <c:v>12000</c:v>
                </c:pt>
                <c:pt idx="15">
                  <c:v>12000</c:v>
                </c:pt>
                <c:pt idx="16">
                  <c:v>12000</c:v>
                </c:pt>
                <c:pt idx="17">
                  <c:v>12000</c:v>
                </c:pt>
                <c:pt idx="18">
                  <c:v>12000</c:v>
                </c:pt>
                <c:pt idx="19">
                  <c:v>12000</c:v>
                </c:pt>
                <c:pt idx="20">
                  <c:v>12000</c:v>
                </c:pt>
                <c:pt idx="21">
                  <c:v>12000</c:v>
                </c:pt>
                <c:pt idx="22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2A-4344-92E0-62754ACF8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40448"/>
        <c:axId val="103242368"/>
      </c:lineChart>
      <c:catAx>
        <c:axId val="1032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2368"/>
        <c:crosses val="autoZero"/>
        <c:auto val="1"/>
        <c:lblAlgn val="ctr"/>
        <c:lblOffset val="100"/>
        <c:noMultiLvlLbl val="0"/>
      </c:catAx>
      <c:valAx>
        <c:axId val="103242368"/>
        <c:scaling>
          <c:orientation val="minMax"/>
          <c:max val="1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0448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CRC (layout + transit)</a:t>
            </a:r>
          </a:p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JULI</a:t>
            </a:r>
            <a:r>
              <a:rPr lang="en-US" b="1" baseline="0"/>
              <a:t>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FF0000"/>
              </a:solidFill>
            </c:spPr>
          </c:marker>
          <c:cat>
            <c:numRef>
              <c:f>'KAPASITAS JULI'!$A$4:$A$30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</c:numCache>
            </c:numRef>
          </c:cat>
          <c:val>
            <c:numRef>
              <c:f>'KAPASITAS JULI'!$D$4:$D$30</c:f>
              <c:numCache>
                <c:formatCode>#,##0</c:formatCode>
                <c:ptCount val="27"/>
                <c:pt idx="0">
                  <c:v>6534.2939999999999</c:v>
                </c:pt>
                <c:pt idx="1">
                  <c:v>6570.9670000000006</c:v>
                </c:pt>
                <c:pt idx="2">
                  <c:v>6609.27</c:v>
                </c:pt>
                <c:pt idx="3">
                  <c:v>6594.5279999999993</c:v>
                </c:pt>
                <c:pt idx="4">
                  <c:v>6703.951</c:v>
                </c:pt>
                <c:pt idx="5">
                  <c:v>6758.3609999999999</c:v>
                </c:pt>
                <c:pt idx="6">
                  <c:v>6904.7260000000006</c:v>
                </c:pt>
                <c:pt idx="7">
                  <c:v>7182.3010000000004</c:v>
                </c:pt>
                <c:pt idx="8">
                  <c:v>8858.9920000000002</c:v>
                </c:pt>
                <c:pt idx="9">
                  <c:v>8721.5220000000008</c:v>
                </c:pt>
                <c:pt idx="10">
                  <c:v>8497.1720000000005</c:v>
                </c:pt>
                <c:pt idx="11">
                  <c:v>9103.9329999999991</c:v>
                </c:pt>
                <c:pt idx="12">
                  <c:v>9531.3209999999999</c:v>
                </c:pt>
                <c:pt idx="13">
                  <c:v>9099.4380000000001</c:v>
                </c:pt>
                <c:pt idx="14">
                  <c:v>8670.5879999999997</c:v>
                </c:pt>
                <c:pt idx="15">
                  <c:v>9012.137999999999</c:v>
                </c:pt>
                <c:pt idx="16">
                  <c:v>8911.7829999999994</c:v>
                </c:pt>
                <c:pt idx="17">
                  <c:v>8545.853000000001</c:v>
                </c:pt>
                <c:pt idx="18">
                  <c:v>8482.1610000000001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A-4943-9B74-312A74F3E493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JULI'!$A$4:$A$30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</c:numCache>
            </c:numRef>
          </c:cat>
          <c:val>
            <c:numRef>
              <c:f>'KAPASITAS JULI'!$E$4:$E$30</c:f>
              <c:numCache>
                <c:formatCode>_(* #,##0_);_(* \(#,##0\);_(* "-"??_);_(@_)</c:formatCode>
                <c:ptCount val="27"/>
                <c:pt idx="0">
                  <c:v>6760</c:v>
                </c:pt>
                <c:pt idx="1">
                  <c:v>6760</c:v>
                </c:pt>
                <c:pt idx="2">
                  <c:v>6760</c:v>
                </c:pt>
                <c:pt idx="3">
                  <c:v>6760</c:v>
                </c:pt>
                <c:pt idx="4">
                  <c:v>6760</c:v>
                </c:pt>
                <c:pt idx="5">
                  <c:v>6760</c:v>
                </c:pt>
                <c:pt idx="6">
                  <c:v>6760</c:v>
                </c:pt>
                <c:pt idx="7">
                  <c:v>6760</c:v>
                </c:pt>
                <c:pt idx="8">
                  <c:v>6760</c:v>
                </c:pt>
                <c:pt idx="9">
                  <c:v>6760</c:v>
                </c:pt>
                <c:pt idx="10">
                  <c:v>6760</c:v>
                </c:pt>
                <c:pt idx="11">
                  <c:v>6760</c:v>
                </c:pt>
                <c:pt idx="12">
                  <c:v>6760</c:v>
                </c:pt>
                <c:pt idx="13">
                  <c:v>6760</c:v>
                </c:pt>
                <c:pt idx="14">
                  <c:v>6760</c:v>
                </c:pt>
                <c:pt idx="15">
                  <c:v>6760</c:v>
                </c:pt>
                <c:pt idx="16">
                  <c:v>6760</c:v>
                </c:pt>
                <c:pt idx="17">
                  <c:v>6760</c:v>
                </c:pt>
                <c:pt idx="18">
                  <c:v>6760</c:v>
                </c:pt>
                <c:pt idx="19">
                  <c:v>6760</c:v>
                </c:pt>
                <c:pt idx="20">
                  <c:v>6760</c:v>
                </c:pt>
                <c:pt idx="21">
                  <c:v>6760</c:v>
                </c:pt>
                <c:pt idx="22">
                  <c:v>6760</c:v>
                </c:pt>
                <c:pt idx="23">
                  <c:v>6760</c:v>
                </c:pt>
                <c:pt idx="24">
                  <c:v>6760</c:v>
                </c:pt>
                <c:pt idx="25">
                  <c:v>6760</c:v>
                </c:pt>
                <c:pt idx="26">
                  <c:v>6760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A-4943-9B74-312A74F3E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85024"/>
        <c:axId val="103187200"/>
      </c:lineChart>
      <c:catAx>
        <c:axId val="10318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7200"/>
        <c:crosses val="autoZero"/>
        <c:auto val="1"/>
        <c:lblAlgn val="ctr"/>
        <c:lblOffset val="100"/>
        <c:noMultiLvlLbl val="0"/>
      </c:catAx>
      <c:valAx>
        <c:axId val="1031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KAPASITAS STOCK BARANG JADI L3, L8 &amp; Sentosa -</a:t>
            </a:r>
            <a:r>
              <a:rPr lang="en-US" b="1" baseline="0"/>
              <a:t> JULI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POSISI STOCK</c:v>
          </c:tx>
          <c:spPr>
            <a:effectLst/>
          </c:spPr>
          <c:marker>
            <c:symbol val="diamond"/>
            <c:size val="5"/>
            <c:spPr>
              <a:solidFill>
                <a:srgbClr val="0070C0"/>
              </a:solidFill>
            </c:spPr>
          </c:marker>
          <c:cat>
            <c:numRef>
              <c:f>'KAPASITAS JULI'!$A$38:$A$64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</c:numCache>
            </c:numRef>
          </c:cat>
          <c:val>
            <c:numRef>
              <c:f>'KAPASITAS JULI'!$D$38:$D$64</c:f>
              <c:numCache>
                <c:formatCode>#,##0</c:formatCode>
                <c:ptCount val="27"/>
                <c:pt idx="0">
                  <c:v>11614.574000000001</c:v>
                </c:pt>
                <c:pt idx="1">
                  <c:v>10993.321</c:v>
                </c:pt>
                <c:pt idx="2">
                  <c:v>10676.445</c:v>
                </c:pt>
                <c:pt idx="3">
                  <c:v>10752.388999999999</c:v>
                </c:pt>
                <c:pt idx="4">
                  <c:v>10251.621000000001</c:v>
                </c:pt>
                <c:pt idx="5">
                  <c:v>10312.829</c:v>
                </c:pt>
                <c:pt idx="6">
                  <c:v>10299.135</c:v>
                </c:pt>
                <c:pt idx="7">
                  <c:v>10056.634999999998</c:v>
                </c:pt>
                <c:pt idx="8">
                  <c:v>8719.4619999999995</c:v>
                </c:pt>
                <c:pt idx="9">
                  <c:v>9069.9120000000003</c:v>
                </c:pt>
                <c:pt idx="10">
                  <c:v>9882.0830000000005</c:v>
                </c:pt>
                <c:pt idx="11">
                  <c:v>9356.4089999999997</c:v>
                </c:pt>
                <c:pt idx="12">
                  <c:v>8352.875</c:v>
                </c:pt>
                <c:pt idx="13">
                  <c:v>8784.5910000000003</c:v>
                </c:pt>
                <c:pt idx="14">
                  <c:v>9575.0889999999999</c:v>
                </c:pt>
                <c:pt idx="15">
                  <c:v>9836.02</c:v>
                </c:pt>
                <c:pt idx="16">
                  <c:v>9433.9679999999989</c:v>
                </c:pt>
                <c:pt idx="17">
                  <c:v>9234.530999999999</c:v>
                </c:pt>
                <c:pt idx="18">
                  <c:v>9092.9449999999997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9-470D-9403-7D364E456D19}"/>
            </c:ext>
          </c:extLst>
        </c:ser>
        <c:ser>
          <c:idx val="2"/>
          <c:order val="1"/>
          <c:tx>
            <c:v>KAPASITAS STOCK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'KAPASITAS JULI'!$A$38:$A$64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20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</c:numCache>
            </c:numRef>
          </c:cat>
          <c:val>
            <c:numRef>
              <c:f>'KAPASITAS JULI'!$E$38:$E$64</c:f>
              <c:numCache>
                <c:formatCode>_(* #,##0_);_(* \(#,##0\);_(* "-"??_);_(@_)</c:formatCode>
                <c:ptCount val="27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  <c:pt idx="12">
                  <c:v>12000</c:v>
                </c:pt>
                <c:pt idx="13">
                  <c:v>12000</c:v>
                </c:pt>
                <c:pt idx="14">
                  <c:v>12000</c:v>
                </c:pt>
                <c:pt idx="15">
                  <c:v>12000</c:v>
                </c:pt>
                <c:pt idx="16">
                  <c:v>12000</c:v>
                </c:pt>
                <c:pt idx="17">
                  <c:v>12000</c:v>
                </c:pt>
                <c:pt idx="18">
                  <c:v>12000</c:v>
                </c:pt>
                <c:pt idx="19">
                  <c:v>12000</c:v>
                </c:pt>
                <c:pt idx="20">
                  <c:v>12000</c:v>
                </c:pt>
                <c:pt idx="21">
                  <c:v>12000</c:v>
                </c:pt>
                <c:pt idx="22">
                  <c:v>12000</c:v>
                </c:pt>
                <c:pt idx="23">
                  <c:v>12000</c:v>
                </c:pt>
                <c:pt idx="24">
                  <c:v>12000</c:v>
                </c:pt>
                <c:pt idx="25">
                  <c:v>12000</c:v>
                </c:pt>
                <c:pt idx="26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9-470D-9403-7D364E456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40448"/>
        <c:axId val="103242368"/>
      </c:lineChart>
      <c:catAx>
        <c:axId val="1032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2368"/>
        <c:crosses val="autoZero"/>
        <c:auto val="1"/>
        <c:lblAlgn val="ctr"/>
        <c:lblOffset val="100"/>
        <c:noMultiLvlLbl val="0"/>
      </c:catAx>
      <c:valAx>
        <c:axId val="103242368"/>
        <c:scaling>
          <c:orientation val="minMax"/>
          <c:max val="1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0448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76201</xdr:colOff>
      <xdr:row>1</xdr:row>
      <xdr:rowOff>95250</xdr:rowOff>
    </xdr:from>
    <xdr:to>
      <xdr:col>14</xdr:col>
      <xdr:colOff>603251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D4D0E-4736-4BFB-A2B1-793896904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35</xdr:row>
      <xdr:rowOff>104774</xdr:rowOff>
    </xdr:from>
    <xdr:to>
      <xdr:col>13</xdr:col>
      <xdr:colOff>527050</xdr:colOff>
      <xdr:row>50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DA4911-341A-4B4F-BE92-637B88D78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76201</xdr:colOff>
      <xdr:row>1</xdr:row>
      <xdr:rowOff>95250</xdr:rowOff>
    </xdr:from>
    <xdr:to>
      <xdr:col>14</xdr:col>
      <xdr:colOff>603251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58D9E-22F9-48E1-94F5-7F501B82B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33</xdr:row>
      <xdr:rowOff>104774</xdr:rowOff>
    </xdr:from>
    <xdr:to>
      <xdr:col>13</xdr:col>
      <xdr:colOff>527050</xdr:colOff>
      <xdr:row>48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434CEA-242B-4022-9086-CC2E48E53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76201</xdr:colOff>
      <xdr:row>1</xdr:row>
      <xdr:rowOff>95250</xdr:rowOff>
    </xdr:from>
    <xdr:to>
      <xdr:col>14</xdr:col>
      <xdr:colOff>603251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D76B2-EEB1-4D0F-B06D-D0EB40751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29</xdr:row>
      <xdr:rowOff>104774</xdr:rowOff>
    </xdr:from>
    <xdr:to>
      <xdr:col>13</xdr:col>
      <xdr:colOff>527050</xdr:colOff>
      <xdr:row>44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CA6FE9-86D5-411D-B923-598BE0501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76201</xdr:colOff>
      <xdr:row>1</xdr:row>
      <xdr:rowOff>95250</xdr:rowOff>
    </xdr:from>
    <xdr:to>
      <xdr:col>14</xdr:col>
      <xdr:colOff>603251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C0274-67E8-4927-9E66-2DFFDF05D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33</xdr:row>
      <xdr:rowOff>104774</xdr:rowOff>
    </xdr:from>
    <xdr:to>
      <xdr:col>13</xdr:col>
      <xdr:colOff>527050</xdr:colOff>
      <xdr:row>48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0C3F39-7A75-44A6-B00B-6DA1A6C4E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76201</xdr:colOff>
      <xdr:row>1</xdr:row>
      <xdr:rowOff>95250</xdr:rowOff>
    </xdr:from>
    <xdr:to>
      <xdr:col>14</xdr:col>
      <xdr:colOff>603251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E1345-792F-446C-A03E-BA5AD190B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31</xdr:row>
      <xdr:rowOff>104774</xdr:rowOff>
    </xdr:from>
    <xdr:to>
      <xdr:col>13</xdr:col>
      <xdr:colOff>527050</xdr:colOff>
      <xdr:row>46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2CB665-58AF-4143-81FA-73325E059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76201</xdr:colOff>
      <xdr:row>1</xdr:row>
      <xdr:rowOff>95250</xdr:rowOff>
    </xdr:from>
    <xdr:to>
      <xdr:col>14</xdr:col>
      <xdr:colOff>603251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273AE-B38B-48BA-B8BB-74C2C3D32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38099</xdr:colOff>
      <xdr:row>32</xdr:row>
      <xdr:rowOff>85724</xdr:rowOff>
    </xdr:from>
    <xdr:to>
      <xdr:col>13</xdr:col>
      <xdr:colOff>552450</xdr:colOff>
      <xdr:row>47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A408E0-1871-49A3-B2AD-5BA0ABB50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76201</xdr:colOff>
      <xdr:row>1</xdr:row>
      <xdr:rowOff>95250</xdr:rowOff>
    </xdr:from>
    <xdr:to>
      <xdr:col>14</xdr:col>
      <xdr:colOff>603251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E2480-E284-4FA9-96B9-8C3023C71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38099</xdr:colOff>
      <xdr:row>35</xdr:row>
      <xdr:rowOff>85724</xdr:rowOff>
    </xdr:from>
    <xdr:to>
      <xdr:col>13</xdr:col>
      <xdr:colOff>552450</xdr:colOff>
      <xdr:row>50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24C4DD-9622-4908-B07D-BE557FE4F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0C35-A516-4FE1-8AA6-BCDAC3E584BA}">
  <sheetPr>
    <tabColor rgb="FFC9C5FB"/>
  </sheetPr>
  <dimension ref="A1:AB28"/>
  <sheetViews>
    <sheetView zoomScale="93" zoomScaleNormal="93" workbookViewId="0">
      <pane xSplit="2" ySplit="4" topLeftCell="N11" activePane="bottomRight" state="frozen"/>
      <selection activeCell="J63" sqref="J63"/>
      <selection pane="topRight" activeCell="J63" sqref="J63"/>
      <selection pane="bottomLeft" activeCell="J63" sqref="J63"/>
      <selection pane="bottomRight" activeCell="X33" sqref="X33"/>
    </sheetView>
  </sheetViews>
  <sheetFormatPr defaultColWidth="9.140625" defaultRowHeight="15"/>
  <cols>
    <col min="1" max="1" width="18.5703125" customWidth="1"/>
    <col min="2" max="2" width="22.85546875" customWidth="1"/>
    <col min="3" max="4" width="10.85546875" customWidth="1"/>
    <col min="5" max="5" width="9.7109375" customWidth="1"/>
    <col min="6" max="6" width="10.85546875" bestFit="1" customWidth="1"/>
    <col min="7" max="7" width="10.85546875" customWidth="1"/>
    <col min="8" max="9" width="9.7109375" customWidth="1"/>
    <col min="10" max="27" width="10.85546875" customWidth="1"/>
    <col min="28" max="28" width="11.42578125" customWidth="1"/>
  </cols>
  <sheetData>
    <row r="1" spans="1:28" ht="18.75">
      <c r="A1" s="25" t="s">
        <v>38</v>
      </c>
      <c r="B1" s="26"/>
    </row>
    <row r="2" spans="1:28" ht="15.95" customHeight="1">
      <c r="A2" s="27"/>
      <c r="B2" s="28"/>
    </row>
    <row r="3" spans="1:28" ht="18.75" customHeight="1">
      <c r="A3" s="67" t="s">
        <v>0</v>
      </c>
      <c r="B3" s="67"/>
      <c r="C3" s="29">
        <v>2</v>
      </c>
      <c r="D3" s="29">
        <v>3</v>
      </c>
      <c r="E3" s="29">
        <v>5</v>
      </c>
      <c r="F3" s="29">
        <v>6</v>
      </c>
      <c r="G3" s="29">
        <v>7</v>
      </c>
      <c r="H3" s="29">
        <v>8</v>
      </c>
      <c r="I3" s="29">
        <v>9</v>
      </c>
      <c r="J3" s="29">
        <v>10</v>
      </c>
      <c r="K3" s="29">
        <v>12</v>
      </c>
      <c r="L3" s="29">
        <v>13</v>
      </c>
      <c r="M3" s="29">
        <v>14</v>
      </c>
      <c r="N3" s="29">
        <v>15</v>
      </c>
      <c r="O3" s="29">
        <v>17</v>
      </c>
      <c r="P3" s="29">
        <v>19</v>
      </c>
      <c r="Q3" s="29">
        <v>20</v>
      </c>
      <c r="R3" s="29">
        <v>21</v>
      </c>
      <c r="S3" s="29">
        <v>22</v>
      </c>
      <c r="T3" s="29">
        <v>23</v>
      </c>
      <c r="U3" s="29">
        <v>24</v>
      </c>
      <c r="V3" s="29">
        <v>26</v>
      </c>
      <c r="W3" s="29">
        <v>27</v>
      </c>
      <c r="X3" s="29">
        <v>28</v>
      </c>
      <c r="Y3" s="29">
        <v>29</v>
      </c>
      <c r="Z3" s="29">
        <v>30</v>
      </c>
      <c r="AA3" s="29">
        <v>31</v>
      </c>
      <c r="AB3" s="34" t="s">
        <v>1</v>
      </c>
    </row>
    <row r="4" spans="1:28" ht="9" customHeight="1">
      <c r="A4" s="3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4"/>
    </row>
    <row r="5" spans="1:28" ht="18.75" customHeight="1">
      <c r="A5" s="68" t="s">
        <v>2</v>
      </c>
      <c r="B5" s="31" t="s">
        <v>3</v>
      </c>
      <c r="C5" s="49">
        <v>7401503</v>
      </c>
      <c r="D5" s="32">
        <v>7114343</v>
      </c>
      <c r="E5" s="32">
        <v>7500053</v>
      </c>
      <c r="F5" s="32">
        <v>7732833</v>
      </c>
      <c r="G5" s="32">
        <v>8652623</v>
      </c>
      <c r="H5" s="32">
        <v>9041233</v>
      </c>
      <c r="I5" s="32">
        <v>9751158</v>
      </c>
      <c r="J5" s="32">
        <v>10189408</v>
      </c>
      <c r="K5" s="32">
        <v>10737208</v>
      </c>
      <c r="L5" s="32">
        <v>10993738</v>
      </c>
      <c r="M5" s="32">
        <v>7866943</v>
      </c>
      <c r="N5" s="32">
        <v>7114813</v>
      </c>
      <c r="O5" s="32">
        <v>8543693</v>
      </c>
      <c r="P5" s="32">
        <v>8771248</v>
      </c>
      <c r="Q5" s="32">
        <v>8667538</v>
      </c>
      <c r="R5" s="32">
        <v>8770608</v>
      </c>
      <c r="S5" s="32">
        <v>8735048</v>
      </c>
      <c r="T5" s="32">
        <v>5883423</v>
      </c>
      <c r="U5" s="32">
        <v>6162303</v>
      </c>
      <c r="V5" s="32">
        <v>6117743</v>
      </c>
      <c r="W5" s="32">
        <v>6164718</v>
      </c>
      <c r="X5" s="32">
        <v>5844008</v>
      </c>
      <c r="Y5" s="32">
        <v>5077378</v>
      </c>
      <c r="Z5" s="32">
        <v>4932178</v>
      </c>
      <c r="AA5" s="32">
        <v>5059648</v>
      </c>
      <c r="AB5" s="35">
        <f t="shared" ref="AB5:AB25" si="0">AVERAGE(C5:AA5)</f>
        <v>7713015.5999999996</v>
      </c>
    </row>
    <row r="6" spans="1:28" ht="18.75" customHeight="1">
      <c r="A6" s="69"/>
      <c r="B6" s="31" t="s">
        <v>4</v>
      </c>
      <c r="C6" s="32">
        <v>337819</v>
      </c>
      <c r="D6" s="32">
        <v>330793</v>
      </c>
      <c r="E6" s="32">
        <v>330793</v>
      </c>
      <c r="F6" s="32">
        <v>330793</v>
      </c>
      <c r="G6" s="32">
        <v>330793</v>
      </c>
      <c r="H6" s="32">
        <v>330793</v>
      </c>
      <c r="I6" s="32">
        <v>330793</v>
      </c>
      <c r="J6" s="32">
        <v>330793</v>
      </c>
      <c r="K6" s="32">
        <v>305487</v>
      </c>
      <c r="L6" s="32">
        <v>302673</v>
      </c>
      <c r="M6" s="32">
        <v>285819</v>
      </c>
      <c r="N6" s="32">
        <v>280191</v>
      </c>
      <c r="O6" s="32">
        <v>260493</v>
      </c>
      <c r="P6" s="32">
        <v>243605</v>
      </c>
      <c r="Q6" s="32">
        <v>237989</v>
      </c>
      <c r="R6" s="32">
        <v>235181</v>
      </c>
      <c r="S6" s="32">
        <v>231015</v>
      </c>
      <c r="T6" s="32">
        <v>151043</v>
      </c>
      <c r="U6" s="32">
        <v>140302</v>
      </c>
      <c r="V6" s="32">
        <v>114375</v>
      </c>
      <c r="W6" s="32">
        <v>101034</v>
      </c>
      <c r="X6" s="32">
        <v>90125</v>
      </c>
      <c r="Y6" s="32">
        <v>82086</v>
      </c>
      <c r="Z6" s="32">
        <v>51282</v>
      </c>
      <c r="AA6" s="32">
        <v>41918</v>
      </c>
      <c r="AB6" s="35">
        <f t="shared" si="0"/>
        <v>232319.52</v>
      </c>
    </row>
    <row r="7" spans="1:28" ht="18.75" customHeight="1">
      <c r="A7" s="69"/>
      <c r="B7" s="31" t="s">
        <v>5</v>
      </c>
      <c r="C7" s="32">
        <v>518311</v>
      </c>
      <c r="D7" s="32">
        <v>518311</v>
      </c>
      <c r="E7" s="32">
        <v>518311</v>
      </c>
      <c r="F7" s="32">
        <v>518311</v>
      </c>
      <c r="G7" s="32">
        <v>518311</v>
      </c>
      <c r="H7" s="32">
        <v>518311</v>
      </c>
      <c r="I7" s="32">
        <v>518311</v>
      </c>
      <c r="J7" s="32">
        <v>518311</v>
      </c>
      <c r="K7" s="32">
        <v>503921</v>
      </c>
      <c r="L7" s="32">
        <v>493987</v>
      </c>
      <c r="M7" s="32">
        <v>479653</v>
      </c>
      <c r="N7" s="32">
        <v>479653</v>
      </c>
      <c r="O7" s="32">
        <v>468615</v>
      </c>
      <c r="P7" s="32">
        <v>449879</v>
      </c>
      <c r="Q7" s="32">
        <v>447682</v>
      </c>
      <c r="R7" s="32">
        <v>442183</v>
      </c>
      <c r="S7" s="32">
        <v>514125</v>
      </c>
      <c r="T7" s="32">
        <v>507504</v>
      </c>
      <c r="U7" s="32">
        <v>650824</v>
      </c>
      <c r="V7" s="32">
        <v>626555</v>
      </c>
      <c r="W7" s="32">
        <v>626555</v>
      </c>
      <c r="X7" s="32">
        <v>621033</v>
      </c>
      <c r="Y7" s="32">
        <v>612219</v>
      </c>
      <c r="Z7" s="32">
        <v>592357</v>
      </c>
      <c r="AA7" s="32">
        <v>587945</v>
      </c>
      <c r="AB7" s="35">
        <f t="shared" si="0"/>
        <v>530047.12</v>
      </c>
    </row>
    <row r="8" spans="1:28" ht="18.75" customHeight="1">
      <c r="A8" s="69"/>
      <c r="B8" s="31" t="s">
        <v>6</v>
      </c>
      <c r="C8" s="32">
        <v>6000</v>
      </c>
      <c r="D8" s="32">
        <v>3600</v>
      </c>
      <c r="E8" s="32">
        <v>3600</v>
      </c>
      <c r="F8" s="32">
        <v>3600</v>
      </c>
      <c r="G8" s="32">
        <v>3600</v>
      </c>
      <c r="H8" s="32">
        <v>3600</v>
      </c>
      <c r="I8" s="32">
        <v>3600</v>
      </c>
      <c r="J8" s="32">
        <v>3600</v>
      </c>
      <c r="K8" s="32">
        <v>3600</v>
      </c>
      <c r="L8" s="32">
        <v>3600</v>
      </c>
      <c r="M8" s="32">
        <v>6000</v>
      </c>
      <c r="N8" s="32">
        <v>6000</v>
      </c>
      <c r="O8" s="32">
        <v>6000</v>
      </c>
      <c r="P8" s="32">
        <v>3600</v>
      </c>
      <c r="Q8" s="32">
        <v>3600</v>
      </c>
      <c r="R8" s="32">
        <v>3600</v>
      </c>
      <c r="S8" s="32">
        <v>7200</v>
      </c>
      <c r="T8" s="32">
        <v>7200</v>
      </c>
      <c r="U8" s="32">
        <v>7200</v>
      </c>
      <c r="V8" s="32">
        <v>4800</v>
      </c>
      <c r="W8" s="32">
        <v>4800</v>
      </c>
      <c r="X8" s="32">
        <v>4800</v>
      </c>
      <c r="Y8" s="32">
        <v>4800</v>
      </c>
      <c r="Z8" s="32">
        <v>8400</v>
      </c>
      <c r="AA8" s="32">
        <v>6000</v>
      </c>
      <c r="AB8" s="35">
        <f t="shared" si="0"/>
        <v>4896</v>
      </c>
    </row>
    <row r="9" spans="1:28" ht="18.75" customHeight="1">
      <c r="A9" s="69"/>
      <c r="B9" s="31" t="s">
        <v>7</v>
      </c>
      <c r="C9" s="32">
        <v>38620</v>
      </c>
      <c r="D9" s="32">
        <v>38620</v>
      </c>
      <c r="E9" s="32">
        <v>37620</v>
      </c>
      <c r="F9" s="32">
        <v>37620</v>
      </c>
      <c r="G9" s="32">
        <v>37620</v>
      </c>
      <c r="H9" s="32">
        <v>37620</v>
      </c>
      <c r="I9" s="32">
        <v>37620</v>
      </c>
      <c r="J9" s="32">
        <v>37620</v>
      </c>
      <c r="K9" s="32">
        <v>36340</v>
      </c>
      <c r="L9" s="32">
        <v>35340</v>
      </c>
      <c r="M9" s="32">
        <v>35340</v>
      </c>
      <c r="N9" s="32">
        <v>34340</v>
      </c>
      <c r="O9" s="32">
        <v>38260</v>
      </c>
      <c r="P9" s="32">
        <v>35260</v>
      </c>
      <c r="Q9" s="32">
        <v>33260</v>
      </c>
      <c r="R9" s="32">
        <v>31260</v>
      </c>
      <c r="S9" s="32">
        <v>37260</v>
      </c>
      <c r="T9" s="32">
        <v>36260</v>
      </c>
      <c r="U9" s="32">
        <v>34980</v>
      </c>
      <c r="V9" s="32">
        <v>31980</v>
      </c>
      <c r="W9" s="32">
        <v>29980</v>
      </c>
      <c r="X9" s="32">
        <v>34980</v>
      </c>
      <c r="Y9" s="32">
        <v>32980</v>
      </c>
      <c r="Z9" s="32">
        <v>37980</v>
      </c>
      <c r="AA9" s="32">
        <v>35980</v>
      </c>
      <c r="AB9" s="35">
        <f t="shared" si="0"/>
        <v>35789.599999999999</v>
      </c>
    </row>
    <row r="10" spans="1:28" ht="18.75" customHeight="1">
      <c r="A10" s="69"/>
      <c r="B10" s="45" t="s">
        <v>29</v>
      </c>
      <c r="C10" s="44">
        <v>413487</v>
      </c>
      <c r="D10" s="44">
        <v>414492</v>
      </c>
      <c r="E10" s="44">
        <v>324498</v>
      </c>
      <c r="F10" s="44">
        <v>149876</v>
      </c>
      <c r="G10" s="44">
        <v>96988</v>
      </c>
      <c r="H10" s="44">
        <v>96988</v>
      </c>
      <c r="I10" s="44">
        <v>96988</v>
      </c>
      <c r="J10" s="44">
        <v>96988</v>
      </c>
      <c r="K10" s="44">
        <v>603736</v>
      </c>
      <c r="L10" s="44">
        <v>671768</v>
      </c>
      <c r="M10" s="44">
        <v>584915</v>
      </c>
      <c r="N10" s="44">
        <v>678736</v>
      </c>
      <c r="O10" s="44">
        <v>539478</v>
      </c>
      <c r="P10" s="44">
        <v>539478</v>
      </c>
      <c r="Q10" s="44">
        <v>539478</v>
      </c>
      <c r="R10" s="44">
        <v>688545</v>
      </c>
      <c r="S10" s="44">
        <v>729570</v>
      </c>
      <c r="T10" s="44">
        <v>815662</v>
      </c>
      <c r="U10" s="44">
        <v>975277</v>
      </c>
      <c r="V10" s="44">
        <v>648500</v>
      </c>
      <c r="W10" s="44">
        <v>763218</v>
      </c>
      <c r="X10" s="44">
        <v>845430</v>
      </c>
      <c r="Y10" s="44">
        <v>628638</v>
      </c>
      <c r="Z10" s="44">
        <v>420528</v>
      </c>
      <c r="AA10" s="44">
        <v>321606</v>
      </c>
      <c r="AB10" s="35">
        <f t="shared" si="0"/>
        <v>507394.72</v>
      </c>
    </row>
    <row r="11" spans="1:28" ht="18.75" customHeight="1">
      <c r="A11" s="69"/>
      <c r="B11" s="45" t="s">
        <v>32</v>
      </c>
      <c r="C11" s="44">
        <v>117134</v>
      </c>
      <c r="D11" s="44">
        <v>117134</v>
      </c>
      <c r="E11" s="44">
        <v>185644</v>
      </c>
      <c r="F11" s="44">
        <v>185934</v>
      </c>
      <c r="G11" s="44">
        <v>185934</v>
      </c>
      <c r="H11" s="44">
        <v>185934</v>
      </c>
      <c r="I11" s="44">
        <v>185934</v>
      </c>
      <c r="J11" s="44">
        <v>185934</v>
      </c>
      <c r="K11" s="44">
        <v>185934</v>
      </c>
      <c r="L11" s="44">
        <v>185934</v>
      </c>
      <c r="M11" s="44">
        <v>185934</v>
      </c>
      <c r="N11" s="44">
        <v>81944</v>
      </c>
      <c r="O11" s="44">
        <v>85037</v>
      </c>
      <c r="P11" s="44">
        <v>85037</v>
      </c>
      <c r="Q11" s="44">
        <v>85037</v>
      </c>
      <c r="R11" s="44">
        <v>103622</v>
      </c>
      <c r="S11" s="44">
        <v>103622</v>
      </c>
      <c r="T11" s="44">
        <v>103622</v>
      </c>
      <c r="U11" s="44">
        <v>103622</v>
      </c>
      <c r="V11" s="44">
        <v>103622</v>
      </c>
      <c r="W11" s="44">
        <v>103622</v>
      </c>
      <c r="X11" s="44">
        <v>121802</v>
      </c>
      <c r="Y11" s="44">
        <v>121802</v>
      </c>
      <c r="Z11" s="44">
        <v>121252</v>
      </c>
      <c r="AA11" s="44">
        <v>107053</v>
      </c>
      <c r="AB11" s="35">
        <f t="shared" si="0"/>
        <v>133523.20000000001</v>
      </c>
    </row>
    <row r="12" spans="1:28" ht="18.75" customHeight="1">
      <c r="A12" s="70" t="s">
        <v>8</v>
      </c>
      <c r="B12" s="31" t="s">
        <v>9</v>
      </c>
      <c r="C12" s="32">
        <v>2294133</v>
      </c>
      <c r="D12" s="32">
        <v>2194970</v>
      </c>
      <c r="E12" s="32">
        <v>2547359</v>
      </c>
      <c r="F12" s="32">
        <v>2476600</v>
      </c>
      <c r="G12" s="32">
        <v>2172979</v>
      </c>
      <c r="H12" s="32">
        <v>1688357</v>
      </c>
      <c r="I12" s="32">
        <v>1036280</v>
      </c>
      <c r="J12" s="32">
        <v>797647</v>
      </c>
      <c r="K12" s="32">
        <v>975011</v>
      </c>
      <c r="L12" s="32">
        <v>1420179</v>
      </c>
      <c r="M12" s="32">
        <v>1406210</v>
      </c>
      <c r="N12" s="32">
        <v>1394081</v>
      </c>
      <c r="O12" s="32">
        <v>1338796</v>
      </c>
      <c r="P12" s="32">
        <v>1610146</v>
      </c>
      <c r="Q12" s="32">
        <v>1628492</v>
      </c>
      <c r="R12" s="32">
        <v>1813513</v>
      </c>
      <c r="S12" s="32">
        <v>1900631</v>
      </c>
      <c r="T12" s="32">
        <v>2159425</v>
      </c>
      <c r="U12" s="32">
        <v>2036437</v>
      </c>
      <c r="V12" s="32">
        <v>2944514</v>
      </c>
      <c r="W12" s="32">
        <v>2753372</v>
      </c>
      <c r="X12" s="32">
        <v>2955106</v>
      </c>
      <c r="Y12" s="32">
        <v>3108310</v>
      </c>
      <c r="Z12" s="32">
        <v>3310591</v>
      </c>
      <c r="AA12" s="32">
        <v>3116002</v>
      </c>
      <c r="AB12" s="35">
        <f t="shared" si="0"/>
        <v>2043165.64</v>
      </c>
    </row>
    <row r="13" spans="1:28" ht="18.75" customHeight="1">
      <c r="A13" s="71"/>
      <c r="B13" s="31" t="s">
        <v>33</v>
      </c>
      <c r="C13" s="32">
        <v>209955</v>
      </c>
      <c r="D13" s="32">
        <v>219298</v>
      </c>
      <c r="E13" s="32">
        <v>222975</v>
      </c>
      <c r="F13" s="32">
        <v>260277</v>
      </c>
      <c r="G13" s="32">
        <v>214683</v>
      </c>
      <c r="H13" s="32">
        <v>179000</v>
      </c>
      <c r="I13" s="32">
        <v>180433</v>
      </c>
      <c r="J13" s="32">
        <v>118925</v>
      </c>
      <c r="K13" s="32">
        <v>118925</v>
      </c>
      <c r="L13" s="32">
        <v>205150</v>
      </c>
      <c r="M13" s="32">
        <v>198063</v>
      </c>
      <c r="N13" s="32">
        <v>197785</v>
      </c>
      <c r="O13" s="32">
        <v>204277</v>
      </c>
      <c r="P13" s="32">
        <v>215392</v>
      </c>
      <c r="Q13" s="32">
        <v>199779</v>
      </c>
      <c r="R13" s="32">
        <v>162886</v>
      </c>
      <c r="S13" s="32">
        <v>135921</v>
      </c>
      <c r="T13" s="32">
        <v>154487</v>
      </c>
      <c r="U13" s="32">
        <v>364700</v>
      </c>
      <c r="V13" s="32">
        <v>364700</v>
      </c>
      <c r="W13" s="32">
        <v>392314</v>
      </c>
      <c r="X13" s="32">
        <v>386906</v>
      </c>
      <c r="Y13" s="32">
        <v>332148</v>
      </c>
      <c r="Z13" s="32">
        <v>357421</v>
      </c>
      <c r="AA13" s="32">
        <v>383531</v>
      </c>
      <c r="AB13" s="35">
        <f t="shared" si="0"/>
        <v>239197.24</v>
      </c>
    </row>
    <row r="14" spans="1:28" ht="18.75" customHeight="1">
      <c r="A14" s="71"/>
      <c r="B14" s="31" t="s">
        <v>34</v>
      </c>
      <c r="C14" s="32">
        <v>9297</v>
      </c>
      <c r="D14" s="32">
        <v>10957</v>
      </c>
      <c r="E14" s="32">
        <v>10957</v>
      </c>
      <c r="F14" s="32">
        <v>25956</v>
      </c>
      <c r="G14" s="32">
        <v>25956</v>
      </c>
      <c r="H14" s="32">
        <v>9297</v>
      </c>
      <c r="I14" s="32">
        <v>9297</v>
      </c>
      <c r="J14" s="32">
        <v>9297</v>
      </c>
      <c r="K14" s="32">
        <v>9297</v>
      </c>
      <c r="L14" s="32">
        <v>9297</v>
      </c>
      <c r="M14" s="32">
        <v>9297</v>
      </c>
      <c r="N14" s="32">
        <v>9796</v>
      </c>
      <c r="O14" s="32">
        <v>9796</v>
      </c>
      <c r="P14" s="32">
        <v>9796</v>
      </c>
      <c r="Q14" s="32">
        <v>9796</v>
      </c>
      <c r="R14" s="32">
        <v>9796</v>
      </c>
      <c r="S14" s="32">
        <v>9796</v>
      </c>
      <c r="T14" s="32">
        <v>9796</v>
      </c>
      <c r="U14" s="32">
        <v>9796</v>
      </c>
      <c r="V14" s="32">
        <v>18500</v>
      </c>
      <c r="W14" s="32">
        <v>16135</v>
      </c>
      <c r="X14" s="32">
        <v>16135</v>
      </c>
      <c r="Y14" s="32">
        <v>16135</v>
      </c>
      <c r="Z14" s="32">
        <v>16135</v>
      </c>
      <c r="AA14" s="32">
        <v>16135</v>
      </c>
      <c r="AB14" s="35">
        <f t="shared" si="0"/>
        <v>12657.92</v>
      </c>
    </row>
    <row r="15" spans="1:28" ht="18.75" customHeight="1">
      <c r="A15" s="71"/>
      <c r="B15" s="31" t="s">
        <v>35</v>
      </c>
      <c r="C15" s="32">
        <v>573687</v>
      </c>
      <c r="D15" s="32">
        <v>573687</v>
      </c>
      <c r="E15" s="32">
        <v>573687</v>
      </c>
      <c r="F15" s="32">
        <v>573687</v>
      </c>
      <c r="G15" s="32">
        <v>573616</v>
      </c>
      <c r="H15" s="32">
        <v>573616</v>
      </c>
      <c r="I15" s="32">
        <v>565863</v>
      </c>
      <c r="J15" s="32">
        <v>565863</v>
      </c>
      <c r="K15" s="32">
        <v>519199</v>
      </c>
      <c r="L15" s="32">
        <v>519199</v>
      </c>
      <c r="M15" s="32">
        <v>519040</v>
      </c>
      <c r="N15" s="32">
        <v>442310</v>
      </c>
      <c r="O15" s="32">
        <v>441449</v>
      </c>
      <c r="P15" s="32">
        <v>439250</v>
      </c>
      <c r="Q15" s="32">
        <v>439250</v>
      </c>
      <c r="R15" s="32">
        <v>439250</v>
      </c>
      <c r="S15" s="32">
        <v>402430</v>
      </c>
      <c r="T15" s="32">
        <v>402430</v>
      </c>
      <c r="U15" s="32">
        <v>390199</v>
      </c>
      <c r="V15" s="32">
        <v>390199</v>
      </c>
      <c r="W15" s="32">
        <v>390199</v>
      </c>
      <c r="X15" s="32">
        <v>390199</v>
      </c>
      <c r="Y15" s="32">
        <v>390199</v>
      </c>
      <c r="Z15" s="32">
        <v>390199</v>
      </c>
      <c r="AA15" s="32">
        <v>390190</v>
      </c>
      <c r="AB15" s="35">
        <f t="shared" si="0"/>
        <v>474755.88</v>
      </c>
    </row>
    <row r="16" spans="1:28" ht="18.75" customHeight="1">
      <c r="A16" s="71"/>
      <c r="B16" s="31" t="s">
        <v>37</v>
      </c>
      <c r="C16" s="32">
        <v>1120912.5</v>
      </c>
      <c r="D16" s="32">
        <v>1120912.5</v>
      </c>
      <c r="E16" s="32">
        <v>1120912.5</v>
      </c>
      <c r="F16" s="32">
        <v>1088523.5</v>
      </c>
      <c r="G16" s="32">
        <v>1088523.5</v>
      </c>
      <c r="H16" s="32">
        <v>1088523.5</v>
      </c>
      <c r="I16" s="32">
        <v>1038847.5</v>
      </c>
      <c r="J16" s="32">
        <v>1038847.5</v>
      </c>
      <c r="K16" s="32">
        <v>973289</v>
      </c>
      <c r="L16" s="32">
        <v>973289</v>
      </c>
      <c r="M16" s="32">
        <v>953141</v>
      </c>
      <c r="N16" s="32">
        <v>909364</v>
      </c>
      <c r="O16" s="32">
        <v>909364</v>
      </c>
      <c r="P16" s="32">
        <v>909364</v>
      </c>
      <c r="Q16" s="32">
        <v>935511</v>
      </c>
      <c r="R16" s="32">
        <v>935511</v>
      </c>
      <c r="S16" s="32">
        <v>922568</v>
      </c>
      <c r="T16" s="32">
        <v>922568</v>
      </c>
      <c r="U16" s="32">
        <v>922568</v>
      </c>
      <c r="V16" s="32">
        <v>889890</v>
      </c>
      <c r="W16" s="32">
        <v>889890</v>
      </c>
      <c r="X16" s="32">
        <v>889890</v>
      </c>
      <c r="Y16" s="32">
        <v>889890</v>
      </c>
      <c r="Z16" s="32">
        <v>889890</v>
      </c>
      <c r="AA16" s="32">
        <v>889890</v>
      </c>
      <c r="AB16" s="35">
        <f t="shared" si="0"/>
        <v>972475.2</v>
      </c>
    </row>
    <row r="17" spans="1:28" ht="18.75" customHeight="1">
      <c r="A17" s="71"/>
      <c r="B17" s="47" t="s">
        <v>36</v>
      </c>
      <c r="C17" s="32">
        <v>2810670</v>
      </c>
      <c r="D17" s="32">
        <v>2810670</v>
      </c>
      <c r="E17" s="32">
        <v>3868380</v>
      </c>
      <c r="F17" s="32">
        <v>3594244</v>
      </c>
      <c r="G17" s="32">
        <v>3170143</v>
      </c>
      <c r="H17" s="32">
        <v>3170143</v>
      </c>
      <c r="I17" s="32">
        <v>2919684</v>
      </c>
      <c r="J17" s="32">
        <v>2589073.5</v>
      </c>
      <c r="K17" s="32">
        <v>2330116.5</v>
      </c>
      <c r="L17" s="32">
        <v>2060381.5</v>
      </c>
      <c r="M17" s="32">
        <v>2060381.5</v>
      </c>
      <c r="N17" s="32">
        <v>2060381.5</v>
      </c>
      <c r="O17" s="32">
        <v>1445506.5</v>
      </c>
      <c r="P17" s="32">
        <v>1445506.5</v>
      </c>
      <c r="Q17" s="32">
        <v>1407853.5</v>
      </c>
      <c r="R17" s="32">
        <v>1407853.5</v>
      </c>
      <c r="S17" s="32">
        <v>1334516.5</v>
      </c>
      <c r="T17" s="32">
        <v>1333721.5</v>
      </c>
      <c r="U17" s="32">
        <v>1310176.5</v>
      </c>
      <c r="V17" s="32">
        <v>1240905.5</v>
      </c>
      <c r="W17" s="32">
        <v>1220426.5</v>
      </c>
      <c r="X17" s="32">
        <v>1184106.5</v>
      </c>
      <c r="Y17" s="32">
        <v>1007087.5</v>
      </c>
      <c r="Z17" s="32">
        <v>1354329.5</v>
      </c>
      <c r="AA17" s="32">
        <v>1354329.5</v>
      </c>
      <c r="AB17" s="35">
        <f t="shared" si="0"/>
        <v>2019623.52</v>
      </c>
    </row>
    <row r="18" spans="1:28" ht="18.75" customHeight="1">
      <c r="A18" s="71"/>
      <c r="B18" s="31" t="s">
        <v>10</v>
      </c>
      <c r="C18" s="32">
        <v>1145357</v>
      </c>
      <c r="D18" s="32">
        <v>1147833</v>
      </c>
      <c r="E18" s="32">
        <v>1147833</v>
      </c>
      <c r="F18" s="32">
        <v>1147833</v>
      </c>
      <c r="G18" s="32">
        <v>1162965</v>
      </c>
      <c r="H18" s="32">
        <v>1162965</v>
      </c>
      <c r="I18" s="32">
        <v>1162965</v>
      </c>
      <c r="J18" s="32">
        <v>1162965</v>
      </c>
      <c r="K18" s="32">
        <v>1164961</v>
      </c>
      <c r="L18" s="32">
        <v>1165896</v>
      </c>
      <c r="M18" s="32">
        <v>1165896</v>
      </c>
      <c r="N18" s="32">
        <v>1168995</v>
      </c>
      <c r="O18" s="32">
        <v>1174862</v>
      </c>
      <c r="P18" s="32">
        <v>1174862</v>
      </c>
      <c r="Q18" s="32">
        <v>1174862</v>
      </c>
      <c r="R18" s="32">
        <v>721057</v>
      </c>
      <c r="S18" s="32">
        <v>721057</v>
      </c>
      <c r="T18" s="32">
        <v>721057</v>
      </c>
      <c r="U18" s="32">
        <v>695531</v>
      </c>
      <c r="V18" s="32">
        <v>695531</v>
      </c>
      <c r="W18" s="32">
        <v>694359</v>
      </c>
      <c r="X18" s="32">
        <v>694359</v>
      </c>
      <c r="Y18" s="32">
        <v>694359</v>
      </c>
      <c r="Z18" s="32">
        <v>694359</v>
      </c>
      <c r="AA18" s="32">
        <v>694359</v>
      </c>
      <c r="AB18" s="35">
        <f t="shared" si="0"/>
        <v>978283.12</v>
      </c>
    </row>
    <row r="19" spans="1:28" ht="18.75" customHeight="1">
      <c r="A19" s="71"/>
      <c r="B19" s="31" t="s">
        <v>11</v>
      </c>
      <c r="C19" s="32">
        <v>129396</v>
      </c>
      <c r="D19" s="32">
        <v>137615</v>
      </c>
      <c r="E19" s="32">
        <v>137615</v>
      </c>
      <c r="F19" s="32">
        <v>137615</v>
      </c>
      <c r="G19" s="32">
        <v>141204</v>
      </c>
      <c r="H19" s="32">
        <v>141204</v>
      </c>
      <c r="I19" s="32">
        <v>141204</v>
      </c>
      <c r="J19" s="32">
        <v>141204</v>
      </c>
      <c r="K19" s="32">
        <v>154188</v>
      </c>
      <c r="L19" s="32">
        <v>154188</v>
      </c>
      <c r="M19" s="32">
        <v>154188</v>
      </c>
      <c r="N19" s="32">
        <v>153522</v>
      </c>
      <c r="O19" s="32">
        <v>148091</v>
      </c>
      <c r="P19" s="32">
        <v>148091</v>
      </c>
      <c r="Q19" s="32">
        <v>148091</v>
      </c>
      <c r="R19" s="32">
        <v>68259</v>
      </c>
      <c r="S19" s="32">
        <v>68259</v>
      </c>
      <c r="T19" s="32">
        <v>68259</v>
      </c>
      <c r="U19" s="32">
        <v>49747</v>
      </c>
      <c r="V19" s="32">
        <v>51810</v>
      </c>
      <c r="W19" s="32">
        <v>51810</v>
      </c>
      <c r="X19" s="32">
        <v>51810</v>
      </c>
      <c r="Y19" s="32">
        <v>51810</v>
      </c>
      <c r="Z19" s="32">
        <v>51810</v>
      </c>
      <c r="AA19" s="32">
        <v>51810</v>
      </c>
      <c r="AB19" s="35">
        <f t="shared" si="0"/>
        <v>109312</v>
      </c>
    </row>
    <row r="20" spans="1:28" ht="18.75" customHeight="1">
      <c r="A20" s="71"/>
      <c r="B20" s="31" t="s">
        <v>12</v>
      </c>
      <c r="C20" s="32">
        <v>299361</v>
      </c>
      <c r="D20" s="32">
        <v>321317</v>
      </c>
      <c r="E20" s="32">
        <v>361850</v>
      </c>
      <c r="F20" s="32">
        <v>405352</v>
      </c>
      <c r="G20" s="32">
        <v>398011</v>
      </c>
      <c r="H20" s="32">
        <v>503801</v>
      </c>
      <c r="I20" s="32">
        <v>569518</v>
      </c>
      <c r="J20" s="32">
        <v>481810</v>
      </c>
      <c r="K20" s="32">
        <v>592670</v>
      </c>
      <c r="L20" s="32">
        <v>638390</v>
      </c>
      <c r="M20" s="32">
        <v>790873</v>
      </c>
      <c r="N20" s="32">
        <v>810719</v>
      </c>
      <c r="O20" s="32">
        <v>725042</v>
      </c>
      <c r="P20" s="32">
        <v>725042</v>
      </c>
      <c r="Q20" s="32">
        <v>725042</v>
      </c>
      <c r="R20" s="32">
        <v>908792</v>
      </c>
      <c r="S20" s="32">
        <v>1151697</v>
      </c>
      <c r="T20" s="32">
        <v>1205009</v>
      </c>
      <c r="U20" s="32">
        <v>1152846</v>
      </c>
      <c r="V20" s="32">
        <v>945300</v>
      </c>
      <c r="W20" s="32">
        <v>878799</v>
      </c>
      <c r="X20" s="32">
        <v>653394</v>
      </c>
      <c r="Y20" s="32">
        <v>548558</v>
      </c>
      <c r="Z20" s="32">
        <v>614753</v>
      </c>
      <c r="AA20" s="32">
        <v>586643</v>
      </c>
      <c r="AB20" s="35">
        <f t="shared" si="0"/>
        <v>679783.56</v>
      </c>
    </row>
    <row r="21" spans="1:28" ht="18.75" customHeight="1">
      <c r="A21" s="71"/>
      <c r="B21" s="45" t="s">
        <v>29</v>
      </c>
      <c r="C21" s="44">
        <v>739922</v>
      </c>
      <c r="D21" s="44">
        <v>894664</v>
      </c>
      <c r="E21" s="44">
        <v>763418</v>
      </c>
      <c r="F21" s="44">
        <v>719873</v>
      </c>
      <c r="G21" s="44">
        <v>564298</v>
      </c>
      <c r="H21" s="44">
        <v>244112</v>
      </c>
      <c r="I21" s="44">
        <v>405960</v>
      </c>
      <c r="J21" s="44">
        <v>263701</v>
      </c>
      <c r="K21" s="44">
        <v>426845</v>
      </c>
      <c r="L21" s="44">
        <v>407772</v>
      </c>
      <c r="M21" s="44">
        <v>568514</v>
      </c>
      <c r="N21" s="44">
        <v>335381</v>
      </c>
      <c r="O21" s="44">
        <v>306842</v>
      </c>
      <c r="P21" s="44">
        <v>306842</v>
      </c>
      <c r="Q21" s="44">
        <v>306842</v>
      </c>
      <c r="R21" s="44">
        <v>551884</v>
      </c>
      <c r="S21" s="44">
        <v>518893</v>
      </c>
      <c r="T21" s="44">
        <v>366099</v>
      </c>
      <c r="U21" s="44">
        <v>273339</v>
      </c>
      <c r="V21" s="44">
        <v>822590</v>
      </c>
      <c r="W21" s="44">
        <v>633969</v>
      </c>
      <c r="X21" s="44">
        <v>660048</v>
      </c>
      <c r="Y21" s="44">
        <v>707754</v>
      </c>
      <c r="Z21" s="44">
        <v>247365</v>
      </c>
      <c r="AA21" s="44">
        <v>139994</v>
      </c>
      <c r="AB21" s="35">
        <f t="shared" si="0"/>
        <v>487076.84</v>
      </c>
    </row>
    <row r="22" spans="1:28" ht="18.75" customHeight="1">
      <c r="A22" s="71"/>
      <c r="B22" s="45" t="s">
        <v>32</v>
      </c>
      <c r="C22" s="44">
        <v>61824</v>
      </c>
      <c r="D22" s="44">
        <v>60525</v>
      </c>
      <c r="E22" s="44">
        <v>74206</v>
      </c>
      <c r="F22" s="44">
        <v>80360</v>
      </c>
      <c r="G22" s="44">
        <v>41561</v>
      </c>
      <c r="H22" s="44">
        <v>56835</v>
      </c>
      <c r="I22" s="44">
        <v>56835</v>
      </c>
      <c r="J22" s="44">
        <v>25635</v>
      </c>
      <c r="K22" s="44">
        <v>71929</v>
      </c>
      <c r="L22" s="44">
        <v>83905</v>
      </c>
      <c r="M22" s="44">
        <v>84031</v>
      </c>
      <c r="N22" s="44">
        <v>72055</v>
      </c>
      <c r="O22" s="44">
        <v>107071</v>
      </c>
      <c r="P22" s="44">
        <v>107071</v>
      </c>
      <c r="Q22" s="44">
        <v>107071</v>
      </c>
      <c r="R22" s="44">
        <v>104521</v>
      </c>
      <c r="S22" s="44">
        <v>114795</v>
      </c>
      <c r="T22" s="44">
        <v>155419</v>
      </c>
      <c r="U22" s="44">
        <v>143638</v>
      </c>
      <c r="V22" s="44">
        <v>132653</v>
      </c>
      <c r="W22" s="44">
        <v>119863</v>
      </c>
      <c r="X22" s="44">
        <v>53281</v>
      </c>
      <c r="Y22" s="44">
        <v>56941</v>
      </c>
      <c r="Z22" s="44">
        <v>55615</v>
      </c>
      <c r="AA22" s="44">
        <v>68035</v>
      </c>
      <c r="AB22" s="35">
        <f t="shared" si="0"/>
        <v>83827</v>
      </c>
    </row>
    <row r="23" spans="1:28" ht="18.75" customHeight="1">
      <c r="A23" s="72"/>
      <c r="B23" s="31" t="s">
        <v>14</v>
      </c>
      <c r="C23" s="49">
        <v>146623</v>
      </c>
      <c r="D23" s="32">
        <v>147496</v>
      </c>
      <c r="E23" s="32">
        <v>147496</v>
      </c>
      <c r="F23" s="32">
        <v>147496</v>
      </c>
      <c r="G23" s="32">
        <v>147496</v>
      </c>
      <c r="H23" s="32">
        <v>147496</v>
      </c>
      <c r="I23" s="32">
        <v>147615</v>
      </c>
      <c r="J23" s="32">
        <v>147615</v>
      </c>
      <c r="K23" s="32">
        <v>160498</v>
      </c>
      <c r="L23" s="32">
        <v>160498</v>
      </c>
      <c r="M23" s="32">
        <v>160498</v>
      </c>
      <c r="N23" s="32">
        <v>160498</v>
      </c>
      <c r="O23" s="32">
        <v>164601</v>
      </c>
      <c r="P23" s="32">
        <v>164601</v>
      </c>
      <c r="Q23" s="32">
        <v>164601</v>
      </c>
      <c r="R23" s="32">
        <v>167209</v>
      </c>
      <c r="S23" s="32">
        <v>167209</v>
      </c>
      <c r="T23" s="32">
        <v>167268</v>
      </c>
      <c r="U23" s="32">
        <v>167268</v>
      </c>
      <c r="V23" s="32">
        <v>167268</v>
      </c>
      <c r="W23" s="32">
        <v>171792</v>
      </c>
      <c r="X23" s="32">
        <v>171792</v>
      </c>
      <c r="Y23" s="32">
        <v>171792</v>
      </c>
      <c r="Z23" s="32">
        <v>171792</v>
      </c>
      <c r="AA23" s="32">
        <v>172905</v>
      </c>
      <c r="AB23" s="35">
        <f t="shared" si="0"/>
        <v>160456.92000000001</v>
      </c>
    </row>
    <row r="24" spans="1:28" ht="18.75" customHeight="1">
      <c r="A24" s="73" t="s">
        <v>13</v>
      </c>
      <c r="B24" s="31" t="s">
        <v>15</v>
      </c>
      <c r="C24" s="32">
        <v>3805.5</v>
      </c>
      <c r="D24" s="32">
        <v>3805.5</v>
      </c>
      <c r="E24" s="32">
        <v>3805.5</v>
      </c>
      <c r="F24" s="32">
        <v>0</v>
      </c>
      <c r="G24" s="32">
        <v>0</v>
      </c>
      <c r="H24" s="32">
        <v>2733.5</v>
      </c>
      <c r="I24" s="32">
        <v>2733.5</v>
      </c>
      <c r="J24" s="32">
        <v>2733.5</v>
      </c>
      <c r="K24" s="32">
        <v>2733.5</v>
      </c>
      <c r="L24" s="32">
        <v>3283</v>
      </c>
      <c r="M24" s="32">
        <v>3283</v>
      </c>
      <c r="N24" s="32">
        <v>3878.5</v>
      </c>
      <c r="O24" s="32">
        <v>5415.5</v>
      </c>
      <c r="P24" s="32">
        <v>5415.5</v>
      </c>
      <c r="Q24" s="32">
        <v>5415.5</v>
      </c>
      <c r="R24" s="32">
        <v>5415.5</v>
      </c>
      <c r="S24" s="32">
        <v>0</v>
      </c>
      <c r="T24" s="32">
        <v>0</v>
      </c>
      <c r="U24" s="32">
        <v>702</v>
      </c>
      <c r="V24" s="32">
        <v>1317</v>
      </c>
      <c r="W24" s="32">
        <v>3954</v>
      </c>
      <c r="X24" s="32">
        <v>4632.5</v>
      </c>
      <c r="Y24" s="32">
        <v>4632.5</v>
      </c>
      <c r="Z24" s="32">
        <v>5844.5</v>
      </c>
      <c r="AA24" s="32">
        <v>5844.5</v>
      </c>
      <c r="AB24" s="35">
        <f t="shared" si="0"/>
        <v>3255.36</v>
      </c>
    </row>
    <row r="25" spans="1:28" ht="18.75" customHeight="1">
      <c r="A25" s="74"/>
      <c r="B25" s="31" t="s">
        <v>16</v>
      </c>
      <c r="C25" s="32">
        <v>14627</v>
      </c>
      <c r="D25" s="32">
        <v>14627</v>
      </c>
      <c r="E25" s="32">
        <v>14627</v>
      </c>
      <c r="F25" s="32">
        <v>14627</v>
      </c>
      <c r="G25" s="32">
        <v>14627</v>
      </c>
      <c r="H25" s="32">
        <v>14627</v>
      </c>
      <c r="I25" s="32">
        <v>14627</v>
      </c>
      <c r="J25" s="32">
        <v>14627</v>
      </c>
      <c r="K25" s="32">
        <v>16275</v>
      </c>
      <c r="L25" s="32">
        <v>16275</v>
      </c>
      <c r="M25" s="32">
        <v>16275</v>
      </c>
      <c r="N25" s="32">
        <v>16275</v>
      </c>
      <c r="O25" s="32">
        <v>16275</v>
      </c>
      <c r="P25" s="32">
        <v>16275</v>
      </c>
      <c r="Q25" s="32">
        <v>16275</v>
      </c>
      <c r="R25" s="32">
        <v>16275</v>
      </c>
      <c r="S25" s="32">
        <v>16275</v>
      </c>
      <c r="T25" s="32">
        <v>16275</v>
      </c>
      <c r="U25" s="32">
        <v>16275</v>
      </c>
      <c r="V25" s="32">
        <v>16275</v>
      </c>
      <c r="W25" s="32">
        <v>16275</v>
      </c>
      <c r="X25" s="32">
        <v>16275</v>
      </c>
      <c r="Y25" s="32">
        <v>16275</v>
      </c>
      <c r="Z25" s="32">
        <v>16275</v>
      </c>
      <c r="AA25" s="32">
        <v>16275</v>
      </c>
      <c r="AB25" s="35">
        <f t="shared" si="0"/>
        <v>15747.64</v>
      </c>
    </row>
    <row r="27" spans="1:28">
      <c r="A27" s="28"/>
    </row>
    <row r="28" spans="1:28">
      <c r="A28" s="33"/>
    </row>
  </sheetData>
  <mergeCells count="4">
    <mergeCell ref="A3:B3"/>
    <mergeCell ref="A5:A11"/>
    <mergeCell ref="A12:A23"/>
    <mergeCell ref="A24:A2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315A-F8AB-444D-B404-3DCDC7A80D4A}">
  <sheetPr>
    <tabColor rgb="FFC9C5FB"/>
  </sheetPr>
  <dimension ref="A1:AA75"/>
  <sheetViews>
    <sheetView topLeftCell="A34" workbookViewId="0">
      <selection activeCell="H61" sqref="H61"/>
    </sheetView>
  </sheetViews>
  <sheetFormatPr defaultColWidth="9" defaultRowHeight="15"/>
  <cols>
    <col min="1" max="1" width="14.28515625" style="2" customWidth="1"/>
    <col min="2" max="4" width="13.85546875" style="2" customWidth="1"/>
    <col min="5" max="5" width="15.42578125" style="2" customWidth="1"/>
    <col min="6" max="6" width="14.85546875" style="2" customWidth="1"/>
    <col min="7" max="8" width="12.42578125" style="1" customWidth="1"/>
    <col min="9" max="9" width="11.42578125" style="1" customWidth="1"/>
    <col min="10" max="10" width="9.7109375" style="1" bestFit="1" customWidth="1"/>
    <col min="11" max="19" width="9" style="1"/>
    <col min="20" max="257" width="9" style="2"/>
    <col min="258" max="261" width="15.42578125" style="2" customWidth="1"/>
    <col min="262" max="262" width="14" style="2" customWidth="1"/>
    <col min="263" max="263" width="12.42578125" style="2" customWidth="1"/>
    <col min="264" max="264" width="12.28515625" style="2" customWidth="1"/>
    <col min="265" max="265" width="12.140625" style="2" customWidth="1"/>
    <col min="266" max="513" width="9" style="2"/>
    <col min="514" max="517" width="15.42578125" style="2" customWidth="1"/>
    <col min="518" max="518" width="14" style="2" customWidth="1"/>
    <col min="519" max="519" width="12.42578125" style="2" customWidth="1"/>
    <col min="520" max="520" width="12.28515625" style="2" customWidth="1"/>
    <col min="521" max="521" width="12.140625" style="2" customWidth="1"/>
    <col min="522" max="769" width="9" style="2"/>
    <col min="770" max="773" width="15.42578125" style="2" customWidth="1"/>
    <col min="774" max="774" width="14" style="2" customWidth="1"/>
    <col min="775" max="775" width="12.42578125" style="2" customWidth="1"/>
    <col min="776" max="776" width="12.28515625" style="2" customWidth="1"/>
    <col min="777" max="777" width="12.140625" style="2" customWidth="1"/>
    <col min="778" max="1025" width="9" style="2"/>
    <col min="1026" max="1029" width="15.42578125" style="2" customWidth="1"/>
    <col min="1030" max="1030" width="14" style="2" customWidth="1"/>
    <col min="1031" max="1031" width="12.42578125" style="2" customWidth="1"/>
    <col min="1032" max="1032" width="12.28515625" style="2" customWidth="1"/>
    <col min="1033" max="1033" width="12.140625" style="2" customWidth="1"/>
    <col min="1034" max="1281" width="9" style="2"/>
    <col min="1282" max="1285" width="15.42578125" style="2" customWidth="1"/>
    <col min="1286" max="1286" width="14" style="2" customWidth="1"/>
    <col min="1287" max="1287" width="12.42578125" style="2" customWidth="1"/>
    <col min="1288" max="1288" width="12.28515625" style="2" customWidth="1"/>
    <col min="1289" max="1289" width="12.140625" style="2" customWidth="1"/>
    <col min="1290" max="1537" width="9" style="2"/>
    <col min="1538" max="1541" width="15.42578125" style="2" customWidth="1"/>
    <col min="1542" max="1542" width="14" style="2" customWidth="1"/>
    <col min="1543" max="1543" width="12.42578125" style="2" customWidth="1"/>
    <col min="1544" max="1544" width="12.28515625" style="2" customWidth="1"/>
    <col min="1545" max="1545" width="12.140625" style="2" customWidth="1"/>
    <col min="1546" max="1793" width="9" style="2"/>
    <col min="1794" max="1797" width="15.42578125" style="2" customWidth="1"/>
    <col min="1798" max="1798" width="14" style="2" customWidth="1"/>
    <col min="1799" max="1799" width="12.42578125" style="2" customWidth="1"/>
    <col min="1800" max="1800" width="12.28515625" style="2" customWidth="1"/>
    <col min="1801" max="1801" width="12.140625" style="2" customWidth="1"/>
    <col min="1802" max="2049" width="9" style="2"/>
    <col min="2050" max="2053" width="15.42578125" style="2" customWidth="1"/>
    <col min="2054" max="2054" width="14" style="2" customWidth="1"/>
    <col min="2055" max="2055" width="12.42578125" style="2" customWidth="1"/>
    <col min="2056" max="2056" width="12.28515625" style="2" customWidth="1"/>
    <col min="2057" max="2057" width="12.140625" style="2" customWidth="1"/>
    <col min="2058" max="2305" width="9" style="2"/>
    <col min="2306" max="2309" width="15.42578125" style="2" customWidth="1"/>
    <col min="2310" max="2310" width="14" style="2" customWidth="1"/>
    <col min="2311" max="2311" width="12.42578125" style="2" customWidth="1"/>
    <col min="2312" max="2312" width="12.28515625" style="2" customWidth="1"/>
    <col min="2313" max="2313" width="12.140625" style="2" customWidth="1"/>
    <col min="2314" max="2561" width="9" style="2"/>
    <col min="2562" max="2565" width="15.42578125" style="2" customWidth="1"/>
    <col min="2566" max="2566" width="14" style="2" customWidth="1"/>
    <col min="2567" max="2567" width="12.42578125" style="2" customWidth="1"/>
    <col min="2568" max="2568" width="12.28515625" style="2" customWidth="1"/>
    <col min="2569" max="2569" width="12.140625" style="2" customWidth="1"/>
    <col min="2570" max="2817" width="9" style="2"/>
    <col min="2818" max="2821" width="15.42578125" style="2" customWidth="1"/>
    <col min="2822" max="2822" width="14" style="2" customWidth="1"/>
    <col min="2823" max="2823" width="12.42578125" style="2" customWidth="1"/>
    <col min="2824" max="2824" width="12.28515625" style="2" customWidth="1"/>
    <col min="2825" max="2825" width="12.140625" style="2" customWidth="1"/>
    <col min="2826" max="3073" width="9" style="2"/>
    <col min="3074" max="3077" width="15.42578125" style="2" customWidth="1"/>
    <col min="3078" max="3078" width="14" style="2" customWidth="1"/>
    <col min="3079" max="3079" width="12.42578125" style="2" customWidth="1"/>
    <col min="3080" max="3080" width="12.28515625" style="2" customWidth="1"/>
    <col min="3081" max="3081" width="12.140625" style="2" customWidth="1"/>
    <col min="3082" max="3329" width="9" style="2"/>
    <col min="3330" max="3333" width="15.42578125" style="2" customWidth="1"/>
    <col min="3334" max="3334" width="14" style="2" customWidth="1"/>
    <col min="3335" max="3335" width="12.42578125" style="2" customWidth="1"/>
    <col min="3336" max="3336" width="12.28515625" style="2" customWidth="1"/>
    <col min="3337" max="3337" width="12.140625" style="2" customWidth="1"/>
    <col min="3338" max="3585" width="9" style="2"/>
    <col min="3586" max="3589" width="15.42578125" style="2" customWidth="1"/>
    <col min="3590" max="3590" width="14" style="2" customWidth="1"/>
    <col min="3591" max="3591" width="12.42578125" style="2" customWidth="1"/>
    <col min="3592" max="3592" width="12.28515625" style="2" customWidth="1"/>
    <col min="3593" max="3593" width="12.140625" style="2" customWidth="1"/>
    <col min="3594" max="3841" width="9" style="2"/>
    <col min="3842" max="3845" width="15.42578125" style="2" customWidth="1"/>
    <col min="3846" max="3846" width="14" style="2" customWidth="1"/>
    <col min="3847" max="3847" width="12.42578125" style="2" customWidth="1"/>
    <col min="3848" max="3848" width="12.28515625" style="2" customWidth="1"/>
    <col min="3849" max="3849" width="12.140625" style="2" customWidth="1"/>
    <col min="3850" max="4097" width="9" style="2"/>
    <col min="4098" max="4101" width="15.42578125" style="2" customWidth="1"/>
    <col min="4102" max="4102" width="14" style="2" customWidth="1"/>
    <col min="4103" max="4103" width="12.42578125" style="2" customWidth="1"/>
    <col min="4104" max="4104" width="12.28515625" style="2" customWidth="1"/>
    <col min="4105" max="4105" width="12.140625" style="2" customWidth="1"/>
    <col min="4106" max="4353" width="9" style="2"/>
    <col min="4354" max="4357" width="15.42578125" style="2" customWidth="1"/>
    <col min="4358" max="4358" width="14" style="2" customWidth="1"/>
    <col min="4359" max="4359" width="12.42578125" style="2" customWidth="1"/>
    <col min="4360" max="4360" width="12.28515625" style="2" customWidth="1"/>
    <col min="4361" max="4361" width="12.140625" style="2" customWidth="1"/>
    <col min="4362" max="4609" width="9" style="2"/>
    <col min="4610" max="4613" width="15.42578125" style="2" customWidth="1"/>
    <col min="4614" max="4614" width="14" style="2" customWidth="1"/>
    <col min="4615" max="4615" width="12.42578125" style="2" customWidth="1"/>
    <col min="4616" max="4616" width="12.28515625" style="2" customWidth="1"/>
    <col min="4617" max="4617" width="12.140625" style="2" customWidth="1"/>
    <col min="4618" max="4865" width="9" style="2"/>
    <col min="4866" max="4869" width="15.42578125" style="2" customWidth="1"/>
    <col min="4870" max="4870" width="14" style="2" customWidth="1"/>
    <col min="4871" max="4871" width="12.42578125" style="2" customWidth="1"/>
    <col min="4872" max="4872" width="12.28515625" style="2" customWidth="1"/>
    <col min="4873" max="4873" width="12.140625" style="2" customWidth="1"/>
    <col min="4874" max="5121" width="9" style="2"/>
    <col min="5122" max="5125" width="15.42578125" style="2" customWidth="1"/>
    <col min="5126" max="5126" width="14" style="2" customWidth="1"/>
    <col min="5127" max="5127" width="12.42578125" style="2" customWidth="1"/>
    <col min="5128" max="5128" width="12.28515625" style="2" customWidth="1"/>
    <col min="5129" max="5129" width="12.140625" style="2" customWidth="1"/>
    <col min="5130" max="5377" width="9" style="2"/>
    <col min="5378" max="5381" width="15.42578125" style="2" customWidth="1"/>
    <col min="5382" max="5382" width="14" style="2" customWidth="1"/>
    <col min="5383" max="5383" width="12.42578125" style="2" customWidth="1"/>
    <col min="5384" max="5384" width="12.28515625" style="2" customWidth="1"/>
    <col min="5385" max="5385" width="12.140625" style="2" customWidth="1"/>
    <col min="5386" max="5633" width="9" style="2"/>
    <col min="5634" max="5637" width="15.42578125" style="2" customWidth="1"/>
    <col min="5638" max="5638" width="14" style="2" customWidth="1"/>
    <col min="5639" max="5639" width="12.42578125" style="2" customWidth="1"/>
    <col min="5640" max="5640" width="12.28515625" style="2" customWidth="1"/>
    <col min="5641" max="5641" width="12.140625" style="2" customWidth="1"/>
    <col min="5642" max="5889" width="9" style="2"/>
    <col min="5890" max="5893" width="15.42578125" style="2" customWidth="1"/>
    <col min="5894" max="5894" width="14" style="2" customWidth="1"/>
    <col min="5895" max="5895" width="12.42578125" style="2" customWidth="1"/>
    <col min="5896" max="5896" width="12.28515625" style="2" customWidth="1"/>
    <col min="5897" max="5897" width="12.140625" style="2" customWidth="1"/>
    <col min="5898" max="6145" width="9" style="2"/>
    <col min="6146" max="6149" width="15.42578125" style="2" customWidth="1"/>
    <col min="6150" max="6150" width="14" style="2" customWidth="1"/>
    <col min="6151" max="6151" width="12.42578125" style="2" customWidth="1"/>
    <col min="6152" max="6152" width="12.28515625" style="2" customWidth="1"/>
    <col min="6153" max="6153" width="12.140625" style="2" customWidth="1"/>
    <col min="6154" max="6401" width="9" style="2"/>
    <col min="6402" max="6405" width="15.42578125" style="2" customWidth="1"/>
    <col min="6406" max="6406" width="14" style="2" customWidth="1"/>
    <col min="6407" max="6407" width="12.42578125" style="2" customWidth="1"/>
    <col min="6408" max="6408" width="12.28515625" style="2" customWidth="1"/>
    <col min="6409" max="6409" width="12.140625" style="2" customWidth="1"/>
    <col min="6410" max="6657" width="9" style="2"/>
    <col min="6658" max="6661" width="15.42578125" style="2" customWidth="1"/>
    <col min="6662" max="6662" width="14" style="2" customWidth="1"/>
    <col min="6663" max="6663" width="12.42578125" style="2" customWidth="1"/>
    <col min="6664" max="6664" width="12.28515625" style="2" customWidth="1"/>
    <col min="6665" max="6665" width="12.140625" style="2" customWidth="1"/>
    <col min="6666" max="6913" width="9" style="2"/>
    <col min="6914" max="6917" width="15.42578125" style="2" customWidth="1"/>
    <col min="6918" max="6918" width="14" style="2" customWidth="1"/>
    <col min="6919" max="6919" width="12.42578125" style="2" customWidth="1"/>
    <col min="6920" max="6920" width="12.28515625" style="2" customWidth="1"/>
    <col min="6921" max="6921" width="12.140625" style="2" customWidth="1"/>
    <col min="6922" max="7169" width="9" style="2"/>
    <col min="7170" max="7173" width="15.42578125" style="2" customWidth="1"/>
    <col min="7174" max="7174" width="14" style="2" customWidth="1"/>
    <col min="7175" max="7175" width="12.42578125" style="2" customWidth="1"/>
    <col min="7176" max="7176" width="12.28515625" style="2" customWidth="1"/>
    <col min="7177" max="7177" width="12.140625" style="2" customWidth="1"/>
    <col min="7178" max="7425" width="9" style="2"/>
    <col min="7426" max="7429" width="15.42578125" style="2" customWidth="1"/>
    <col min="7430" max="7430" width="14" style="2" customWidth="1"/>
    <col min="7431" max="7431" width="12.42578125" style="2" customWidth="1"/>
    <col min="7432" max="7432" width="12.28515625" style="2" customWidth="1"/>
    <col min="7433" max="7433" width="12.140625" style="2" customWidth="1"/>
    <col min="7434" max="7681" width="9" style="2"/>
    <col min="7682" max="7685" width="15.42578125" style="2" customWidth="1"/>
    <col min="7686" max="7686" width="14" style="2" customWidth="1"/>
    <col min="7687" max="7687" width="12.42578125" style="2" customWidth="1"/>
    <col min="7688" max="7688" width="12.28515625" style="2" customWidth="1"/>
    <col min="7689" max="7689" width="12.140625" style="2" customWidth="1"/>
    <col min="7690" max="7937" width="9" style="2"/>
    <col min="7938" max="7941" width="15.42578125" style="2" customWidth="1"/>
    <col min="7942" max="7942" width="14" style="2" customWidth="1"/>
    <col min="7943" max="7943" width="12.42578125" style="2" customWidth="1"/>
    <col min="7944" max="7944" width="12.28515625" style="2" customWidth="1"/>
    <col min="7945" max="7945" width="12.140625" style="2" customWidth="1"/>
    <col min="7946" max="8193" width="9" style="2"/>
    <col min="8194" max="8197" width="15.42578125" style="2" customWidth="1"/>
    <col min="8198" max="8198" width="14" style="2" customWidth="1"/>
    <col min="8199" max="8199" width="12.42578125" style="2" customWidth="1"/>
    <col min="8200" max="8200" width="12.28515625" style="2" customWidth="1"/>
    <col min="8201" max="8201" width="12.140625" style="2" customWidth="1"/>
    <col min="8202" max="8449" width="9" style="2"/>
    <col min="8450" max="8453" width="15.42578125" style="2" customWidth="1"/>
    <col min="8454" max="8454" width="14" style="2" customWidth="1"/>
    <col min="8455" max="8455" width="12.42578125" style="2" customWidth="1"/>
    <col min="8456" max="8456" width="12.28515625" style="2" customWidth="1"/>
    <col min="8457" max="8457" width="12.140625" style="2" customWidth="1"/>
    <col min="8458" max="8705" width="9" style="2"/>
    <col min="8706" max="8709" width="15.42578125" style="2" customWidth="1"/>
    <col min="8710" max="8710" width="14" style="2" customWidth="1"/>
    <col min="8711" max="8711" width="12.42578125" style="2" customWidth="1"/>
    <col min="8712" max="8712" width="12.28515625" style="2" customWidth="1"/>
    <col min="8713" max="8713" width="12.140625" style="2" customWidth="1"/>
    <col min="8714" max="8961" width="9" style="2"/>
    <col min="8962" max="8965" width="15.42578125" style="2" customWidth="1"/>
    <col min="8966" max="8966" width="14" style="2" customWidth="1"/>
    <col min="8967" max="8967" width="12.42578125" style="2" customWidth="1"/>
    <col min="8968" max="8968" width="12.28515625" style="2" customWidth="1"/>
    <col min="8969" max="8969" width="12.140625" style="2" customWidth="1"/>
    <col min="8970" max="9217" width="9" style="2"/>
    <col min="9218" max="9221" width="15.42578125" style="2" customWidth="1"/>
    <col min="9222" max="9222" width="14" style="2" customWidth="1"/>
    <col min="9223" max="9223" width="12.42578125" style="2" customWidth="1"/>
    <col min="9224" max="9224" width="12.28515625" style="2" customWidth="1"/>
    <col min="9225" max="9225" width="12.140625" style="2" customWidth="1"/>
    <col min="9226" max="9473" width="9" style="2"/>
    <col min="9474" max="9477" width="15.42578125" style="2" customWidth="1"/>
    <col min="9478" max="9478" width="14" style="2" customWidth="1"/>
    <col min="9479" max="9479" width="12.42578125" style="2" customWidth="1"/>
    <col min="9480" max="9480" width="12.28515625" style="2" customWidth="1"/>
    <col min="9481" max="9481" width="12.140625" style="2" customWidth="1"/>
    <col min="9482" max="9729" width="9" style="2"/>
    <col min="9730" max="9733" width="15.42578125" style="2" customWidth="1"/>
    <col min="9734" max="9734" width="14" style="2" customWidth="1"/>
    <col min="9735" max="9735" width="12.42578125" style="2" customWidth="1"/>
    <col min="9736" max="9736" width="12.28515625" style="2" customWidth="1"/>
    <col min="9737" max="9737" width="12.140625" style="2" customWidth="1"/>
    <col min="9738" max="9985" width="9" style="2"/>
    <col min="9986" max="9989" width="15.42578125" style="2" customWidth="1"/>
    <col min="9990" max="9990" width="14" style="2" customWidth="1"/>
    <col min="9991" max="9991" width="12.42578125" style="2" customWidth="1"/>
    <col min="9992" max="9992" width="12.28515625" style="2" customWidth="1"/>
    <col min="9993" max="9993" width="12.140625" style="2" customWidth="1"/>
    <col min="9994" max="10241" width="9" style="2"/>
    <col min="10242" max="10245" width="15.42578125" style="2" customWidth="1"/>
    <col min="10246" max="10246" width="14" style="2" customWidth="1"/>
    <col min="10247" max="10247" width="12.42578125" style="2" customWidth="1"/>
    <col min="10248" max="10248" width="12.28515625" style="2" customWidth="1"/>
    <col min="10249" max="10249" width="12.140625" style="2" customWidth="1"/>
    <col min="10250" max="10497" width="9" style="2"/>
    <col min="10498" max="10501" width="15.42578125" style="2" customWidth="1"/>
    <col min="10502" max="10502" width="14" style="2" customWidth="1"/>
    <col min="10503" max="10503" width="12.42578125" style="2" customWidth="1"/>
    <col min="10504" max="10504" width="12.28515625" style="2" customWidth="1"/>
    <col min="10505" max="10505" width="12.140625" style="2" customWidth="1"/>
    <col min="10506" max="10753" width="9" style="2"/>
    <col min="10754" max="10757" width="15.42578125" style="2" customWidth="1"/>
    <col min="10758" max="10758" width="14" style="2" customWidth="1"/>
    <col min="10759" max="10759" width="12.42578125" style="2" customWidth="1"/>
    <col min="10760" max="10760" width="12.28515625" style="2" customWidth="1"/>
    <col min="10761" max="10761" width="12.140625" style="2" customWidth="1"/>
    <col min="10762" max="11009" width="9" style="2"/>
    <col min="11010" max="11013" width="15.42578125" style="2" customWidth="1"/>
    <col min="11014" max="11014" width="14" style="2" customWidth="1"/>
    <col min="11015" max="11015" width="12.42578125" style="2" customWidth="1"/>
    <col min="11016" max="11016" width="12.28515625" style="2" customWidth="1"/>
    <col min="11017" max="11017" width="12.140625" style="2" customWidth="1"/>
    <col min="11018" max="11265" width="9" style="2"/>
    <col min="11266" max="11269" width="15.42578125" style="2" customWidth="1"/>
    <col min="11270" max="11270" width="14" style="2" customWidth="1"/>
    <col min="11271" max="11271" width="12.42578125" style="2" customWidth="1"/>
    <col min="11272" max="11272" width="12.28515625" style="2" customWidth="1"/>
    <col min="11273" max="11273" width="12.140625" style="2" customWidth="1"/>
    <col min="11274" max="11521" width="9" style="2"/>
    <col min="11522" max="11525" width="15.42578125" style="2" customWidth="1"/>
    <col min="11526" max="11526" width="14" style="2" customWidth="1"/>
    <col min="11527" max="11527" width="12.42578125" style="2" customWidth="1"/>
    <col min="11528" max="11528" width="12.28515625" style="2" customWidth="1"/>
    <col min="11529" max="11529" width="12.140625" style="2" customWidth="1"/>
    <col min="11530" max="11777" width="9" style="2"/>
    <col min="11778" max="11781" width="15.42578125" style="2" customWidth="1"/>
    <col min="11782" max="11782" width="14" style="2" customWidth="1"/>
    <col min="11783" max="11783" width="12.42578125" style="2" customWidth="1"/>
    <col min="11784" max="11784" width="12.28515625" style="2" customWidth="1"/>
    <col min="11785" max="11785" width="12.140625" style="2" customWidth="1"/>
    <col min="11786" max="12033" width="9" style="2"/>
    <col min="12034" max="12037" width="15.42578125" style="2" customWidth="1"/>
    <col min="12038" max="12038" width="14" style="2" customWidth="1"/>
    <col min="12039" max="12039" width="12.42578125" style="2" customWidth="1"/>
    <col min="12040" max="12040" width="12.28515625" style="2" customWidth="1"/>
    <col min="12041" max="12041" width="12.140625" style="2" customWidth="1"/>
    <col min="12042" max="12289" width="9" style="2"/>
    <col min="12290" max="12293" width="15.42578125" style="2" customWidth="1"/>
    <col min="12294" max="12294" width="14" style="2" customWidth="1"/>
    <col min="12295" max="12295" width="12.42578125" style="2" customWidth="1"/>
    <col min="12296" max="12296" width="12.28515625" style="2" customWidth="1"/>
    <col min="12297" max="12297" width="12.140625" style="2" customWidth="1"/>
    <col min="12298" max="12545" width="9" style="2"/>
    <col min="12546" max="12549" width="15.42578125" style="2" customWidth="1"/>
    <col min="12550" max="12550" width="14" style="2" customWidth="1"/>
    <col min="12551" max="12551" width="12.42578125" style="2" customWidth="1"/>
    <col min="12552" max="12552" width="12.28515625" style="2" customWidth="1"/>
    <col min="12553" max="12553" width="12.140625" style="2" customWidth="1"/>
    <col min="12554" max="12801" width="9" style="2"/>
    <col min="12802" max="12805" width="15.42578125" style="2" customWidth="1"/>
    <col min="12806" max="12806" width="14" style="2" customWidth="1"/>
    <col min="12807" max="12807" width="12.42578125" style="2" customWidth="1"/>
    <col min="12808" max="12808" width="12.28515625" style="2" customWidth="1"/>
    <col min="12809" max="12809" width="12.140625" style="2" customWidth="1"/>
    <col min="12810" max="13057" width="9" style="2"/>
    <col min="13058" max="13061" width="15.42578125" style="2" customWidth="1"/>
    <col min="13062" max="13062" width="14" style="2" customWidth="1"/>
    <col min="13063" max="13063" width="12.42578125" style="2" customWidth="1"/>
    <col min="13064" max="13064" width="12.28515625" style="2" customWidth="1"/>
    <col min="13065" max="13065" width="12.140625" style="2" customWidth="1"/>
    <col min="13066" max="13313" width="9" style="2"/>
    <col min="13314" max="13317" width="15.42578125" style="2" customWidth="1"/>
    <col min="13318" max="13318" width="14" style="2" customWidth="1"/>
    <col min="13319" max="13319" width="12.42578125" style="2" customWidth="1"/>
    <col min="13320" max="13320" width="12.28515625" style="2" customWidth="1"/>
    <col min="13321" max="13321" width="12.140625" style="2" customWidth="1"/>
    <col min="13322" max="13569" width="9" style="2"/>
    <col min="13570" max="13573" width="15.42578125" style="2" customWidth="1"/>
    <col min="13574" max="13574" width="14" style="2" customWidth="1"/>
    <col min="13575" max="13575" width="12.42578125" style="2" customWidth="1"/>
    <col min="13576" max="13576" width="12.28515625" style="2" customWidth="1"/>
    <col min="13577" max="13577" width="12.140625" style="2" customWidth="1"/>
    <col min="13578" max="13825" width="9" style="2"/>
    <col min="13826" max="13829" width="15.42578125" style="2" customWidth="1"/>
    <col min="13830" max="13830" width="14" style="2" customWidth="1"/>
    <col min="13831" max="13831" width="12.42578125" style="2" customWidth="1"/>
    <col min="13832" max="13832" width="12.28515625" style="2" customWidth="1"/>
    <col min="13833" max="13833" width="12.140625" style="2" customWidth="1"/>
    <col min="13834" max="14081" width="9" style="2"/>
    <col min="14082" max="14085" width="15.42578125" style="2" customWidth="1"/>
    <col min="14086" max="14086" width="14" style="2" customWidth="1"/>
    <col min="14087" max="14087" width="12.42578125" style="2" customWidth="1"/>
    <col min="14088" max="14088" width="12.28515625" style="2" customWidth="1"/>
    <col min="14089" max="14089" width="12.140625" style="2" customWidth="1"/>
    <col min="14090" max="14337" width="9" style="2"/>
    <col min="14338" max="14341" width="15.42578125" style="2" customWidth="1"/>
    <col min="14342" max="14342" width="14" style="2" customWidth="1"/>
    <col min="14343" max="14343" width="12.42578125" style="2" customWidth="1"/>
    <col min="14344" max="14344" width="12.28515625" style="2" customWidth="1"/>
    <col min="14345" max="14345" width="12.140625" style="2" customWidth="1"/>
    <col min="14346" max="14593" width="9" style="2"/>
    <col min="14594" max="14597" width="15.42578125" style="2" customWidth="1"/>
    <col min="14598" max="14598" width="14" style="2" customWidth="1"/>
    <col min="14599" max="14599" width="12.42578125" style="2" customWidth="1"/>
    <col min="14600" max="14600" width="12.28515625" style="2" customWidth="1"/>
    <col min="14601" max="14601" width="12.140625" style="2" customWidth="1"/>
    <col min="14602" max="14849" width="9" style="2"/>
    <col min="14850" max="14853" width="15.42578125" style="2" customWidth="1"/>
    <col min="14854" max="14854" width="14" style="2" customWidth="1"/>
    <col min="14855" max="14855" width="12.42578125" style="2" customWidth="1"/>
    <col min="14856" max="14856" width="12.28515625" style="2" customWidth="1"/>
    <col min="14857" max="14857" width="12.140625" style="2" customWidth="1"/>
    <col min="14858" max="15105" width="9" style="2"/>
    <col min="15106" max="15109" width="15.42578125" style="2" customWidth="1"/>
    <col min="15110" max="15110" width="14" style="2" customWidth="1"/>
    <col min="15111" max="15111" width="12.42578125" style="2" customWidth="1"/>
    <col min="15112" max="15112" width="12.28515625" style="2" customWidth="1"/>
    <col min="15113" max="15113" width="12.140625" style="2" customWidth="1"/>
    <col min="15114" max="15361" width="9" style="2"/>
    <col min="15362" max="15365" width="15.42578125" style="2" customWidth="1"/>
    <col min="15366" max="15366" width="14" style="2" customWidth="1"/>
    <col min="15367" max="15367" width="12.42578125" style="2" customWidth="1"/>
    <col min="15368" max="15368" width="12.28515625" style="2" customWidth="1"/>
    <col min="15369" max="15369" width="12.140625" style="2" customWidth="1"/>
    <col min="15370" max="15617" width="9" style="2"/>
    <col min="15618" max="15621" width="15.42578125" style="2" customWidth="1"/>
    <col min="15622" max="15622" width="14" style="2" customWidth="1"/>
    <col min="15623" max="15623" width="12.42578125" style="2" customWidth="1"/>
    <col min="15624" max="15624" width="12.28515625" style="2" customWidth="1"/>
    <col min="15625" max="15625" width="12.140625" style="2" customWidth="1"/>
    <col min="15626" max="15873" width="9" style="2"/>
    <col min="15874" max="15877" width="15.42578125" style="2" customWidth="1"/>
    <col min="15878" max="15878" width="14" style="2" customWidth="1"/>
    <col min="15879" max="15879" width="12.42578125" style="2" customWidth="1"/>
    <col min="15880" max="15880" width="12.28515625" style="2" customWidth="1"/>
    <col min="15881" max="15881" width="12.140625" style="2" customWidth="1"/>
    <col min="15882" max="16129" width="9" style="2"/>
    <col min="16130" max="16133" width="15.42578125" style="2" customWidth="1"/>
    <col min="16134" max="16134" width="14" style="2" customWidth="1"/>
    <col min="16135" max="16135" width="12.42578125" style="2" customWidth="1"/>
    <col min="16136" max="16136" width="12.28515625" style="2" customWidth="1"/>
    <col min="16137" max="16137" width="12.140625" style="2" customWidth="1"/>
    <col min="16138" max="16384" width="9" style="2"/>
  </cols>
  <sheetData>
    <row r="1" spans="1:7">
      <c r="A1" s="3" t="s">
        <v>39</v>
      </c>
    </row>
    <row r="2" spans="1:7">
      <c r="A2" s="59" t="s">
        <v>17</v>
      </c>
      <c r="B2" s="61" t="s">
        <v>0</v>
      </c>
      <c r="C2" s="62"/>
      <c r="D2" s="59" t="s">
        <v>31</v>
      </c>
      <c r="E2" s="59" t="s">
        <v>18</v>
      </c>
      <c r="F2" s="59" t="s">
        <v>19</v>
      </c>
    </row>
    <row r="3" spans="1:7" s="2" customFormat="1">
      <c r="A3" s="60"/>
      <c r="B3" s="4" t="s">
        <v>28</v>
      </c>
      <c r="C3" s="4" t="s">
        <v>30</v>
      </c>
      <c r="D3" s="60"/>
      <c r="E3" s="60"/>
      <c r="F3" s="60"/>
    </row>
    <row r="4" spans="1:7">
      <c r="A4" s="50">
        <v>2</v>
      </c>
      <c r="B4" s="5">
        <f>JAN!C5/1000</f>
        <v>7401.5029999999997</v>
      </c>
      <c r="C4" s="5">
        <f>(JAN!C10+JAN!C11)/1000</f>
        <v>530.62099999999998</v>
      </c>
      <c r="D4" s="5">
        <f t="shared" ref="D4:D28" si="0">B4+C4</f>
        <v>7932.1239999999998</v>
      </c>
      <c r="E4" s="6">
        <v>6760</v>
      </c>
      <c r="F4" s="7">
        <f>D4/E4</f>
        <v>1.173391124260355</v>
      </c>
    </row>
    <row r="5" spans="1:7">
      <c r="A5" s="50">
        <v>3</v>
      </c>
      <c r="B5" s="5">
        <f>JAN!D5/1000</f>
        <v>7114.3429999999998</v>
      </c>
      <c r="C5" s="5">
        <f>(JAN!D10+JAN!D11)/1000</f>
        <v>531.62599999999998</v>
      </c>
      <c r="D5" s="5">
        <f t="shared" si="0"/>
        <v>7645.9690000000001</v>
      </c>
      <c r="E5" s="6">
        <v>6760</v>
      </c>
      <c r="F5" s="7">
        <f t="shared" ref="F5:F28" si="1">D5/E5</f>
        <v>1.1310605029585798</v>
      </c>
      <c r="G5" s="43"/>
    </row>
    <row r="6" spans="1:7">
      <c r="A6" s="50">
        <v>5</v>
      </c>
      <c r="B6" s="5">
        <f>JAN!E5/1000</f>
        <v>7500.0529999999999</v>
      </c>
      <c r="C6" s="5">
        <f>(JAN!E10+JAN!E11)/1000</f>
        <v>510.142</v>
      </c>
      <c r="D6" s="5">
        <f t="shared" si="0"/>
        <v>8010.1949999999997</v>
      </c>
      <c r="E6" s="6">
        <v>6760</v>
      </c>
      <c r="F6" s="7">
        <f t="shared" si="1"/>
        <v>1.1849400887573964</v>
      </c>
    </row>
    <row r="7" spans="1:7">
      <c r="A7" s="50">
        <v>6</v>
      </c>
      <c r="B7" s="5">
        <f>JAN!F5/1000</f>
        <v>7732.8329999999996</v>
      </c>
      <c r="C7" s="5">
        <f>(JAN!F10+JAN!F11)/1000</f>
        <v>335.81</v>
      </c>
      <c r="D7" s="5">
        <f t="shared" si="0"/>
        <v>8068.643</v>
      </c>
      <c r="E7" s="6">
        <v>6760</v>
      </c>
      <c r="F7" s="7">
        <f t="shared" si="1"/>
        <v>1.1935862426035504</v>
      </c>
    </row>
    <row r="8" spans="1:7">
      <c r="A8" s="50">
        <v>7</v>
      </c>
      <c r="B8" s="5">
        <f>JAN!G5/1000</f>
        <v>8652.6229999999996</v>
      </c>
      <c r="C8" s="5">
        <f>(JAN!G10+JAN!G11)/1000</f>
        <v>282.92200000000003</v>
      </c>
      <c r="D8" s="5">
        <f t="shared" si="0"/>
        <v>8935.5450000000001</v>
      </c>
      <c r="E8" s="6">
        <v>6760</v>
      </c>
      <c r="F8" s="7">
        <f t="shared" si="1"/>
        <v>1.3218261834319527</v>
      </c>
    </row>
    <row r="9" spans="1:7">
      <c r="A9" s="50">
        <v>8</v>
      </c>
      <c r="B9" s="5">
        <f>JAN!H5/1000</f>
        <v>9041.2330000000002</v>
      </c>
      <c r="C9" s="5">
        <f>(JAN!H10+JAN!H11)/1000</f>
        <v>282.92200000000003</v>
      </c>
      <c r="D9" s="5">
        <f t="shared" si="0"/>
        <v>9324.1550000000007</v>
      </c>
      <c r="E9" s="6">
        <v>6760</v>
      </c>
      <c r="F9" s="7">
        <f t="shared" si="1"/>
        <v>1.3793128698224852</v>
      </c>
    </row>
    <row r="10" spans="1:7">
      <c r="A10" s="50">
        <v>9</v>
      </c>
      <c r="B10" s="5">
        <f>JAN!I5/1000</f>
        <v>9751.1579999999994</v>
      </c>
      <c r="C10" s="5">
        <f>(JAN!I10+JAN!I11)/1000</f>
        <v>282.92200000000003</v>
      </c>
      <c r="D10" s="5">
        <f t="shared" si="0"/>
        <v>10034.08</v>
      </c>
      <c r="E10" s="6">
        <v>6760</v>
      </c>
      <c r="F10" s="7">
        <f t="shared" si="1"/>
        <v>1.4843313609467454</v>
      </c>
    </row>
    <row r="11" spans="1:7">
      <c r="A11" s="50">
        <v>10</v>
      </c>
      <c r="B11" s="5">
        <f>JAN!J5/1000</f>
        <v>10189.407999999999</v>
      </c>
      <c r="C11" s="5">
        <f>(JAN!J10+JAN!J11)/1000</f>
        <v>282.92200000000003</v>
      </c>
      <c r="D11" s="5">
        <f t="shared" si="0"/>
        <v>10472.33</v>
      </c>
      <c r="E11" s="6">
        <v>6760</v>
      </c>
      <c r="F11" s="7">
        <f t="shared" si="1"/>
        <v>1.5491612426035504</v>
      </c>
    </row>
    <row r="12" spans="1:7">
      <c r="A12" s="50">
        <v>12</v>
      </c>
      <c r="B12" s="5">
        <f>JAN!K5/1000</f>
        <v>10737.208000000001</v>
      </c>
      <c r="C12" s="5">
        <f>(JAN!K10+JAN!K11)/1000</f>
        <v>789.67</v>
      </c>
      <c r="D12" s="5">
        <f t="shared" si="0"/>
        <v>11526.878000000001</v>
      </c>
      <c r="E12" s="6">
        <v>6760</v>
      </c>
      <c r="F12" s="7">
        <f t="shared" si="1"/>
        <v>1.7051594674556214</v>
      </c>
    </row>
    <row r="13" spans="1:7">
      <c r="A13" s="50">
        <v>13</v>
      </c>
      <c r="B13" s="5">
        <f>JAN!L5/1000</f>
        <v>10993.737999999999</v>
      </c>
      <c r="C13" s="5">
        <f>(JAN!L10+JAN!L11)/1000</f>
        <v>857.702</v>
      </c>
      <c r="D13" s="5">
        <f t="shared" si="0"/>
        <v>11851.439999999999</v>
      </c>
      <c r="E13" s="6">
        <v>6760</v>
      </c>
      <c r="F13" s="7">
        <f t="shared" si="1"/>
        <v>1.7531715976331359</v>
      </c>
    </row>
    <row r="14" spans="1:7">
      <c r="A14" s="50">
        <v>14</v>
      </c>
      <c r="B14" s="5">
        <f>JAN!M5/1000</f>
        <v>7866.9430000000002</v>
      </c>
      <c r="C14" s="5">
        <f>(JAN!M10+JAN!M11)/1000</f>
        <v>770.84900000000005</v>
      </c>
      <c r="D14" s="5">
        <f t="shared" si="0"/>
        <v>8637.7919999999995</v>
      </c>
      <c r="E14" s="6">
        <v>6760</v>
      </c>
      <c r="F14" s="7">
        <f t="shared" si="1"/>
        <v>1.2777798816568047</v>
      </c>
    </row>
    <row r="15" spans="1:7">
      <c r="A15" s="50">
        <v>15</v>
      </c>
      <c r="B15" s="5">
        <f>JAN!N5/1000</f>
        <v>7114.8130000000001</v>
      </c>
      <c r="C15" s="5">
        <f>(JAN!N10+JAN!N11)/1000</f>
        <v>760.68</v>
      </c>
      <c r="D15" s="5">
        <f t="shared" si="0"/>
        <v>7875.4930000000004</v>
      </c>
      <c r="E15" s="6">
        <v>6760</v>
      </c>
      <c r="F15" s="7">
        <f t="shared" si="1"/>
        <v>1.1650137573964499</v>
      </c>
    </row>
    <row r="16" spans="1:7">
      <c r="A16" s="50">
        <v>17</v>
      </c>
      <c r="B16" s="5">
        <f>JAN!O5/1000</f>
        <v>8543.6929999999993</v>
      </c>
      <c r="C16" s="5">
        <f>(JAN!O10+JAN!O11)/1000</f>
        <v>624.51499999999999</v>
      </c>
      <c r="D16" s="5">
        <f t="shared" si="0"/>
        <v>9168.2079999999987</v>
      </c>
      <c r="E16" s="6">
        <v>6760</v>
      </c>
      <c r="F16" s="7">
        <f t="shared" si="1"/>
        <v>1.3562437869822483</v>
      </c>
    </row>
    <row r="17" spans="1:11">
      <c r="A17" s="50">
        <v>19</v>
      </c>
      <c r="B17" s="5">
        <f>JAN!P5/1000</f>
        <v>8771.2479999999996</v>
      </c>
      <c r="C17" s="5">
        <f>(JAN!P10+JAN!P11)/1000</f>
        <v>624.51499999999999</v>
      </c>
      <c r="D17" s="5">
        <f t="shared" si="0"/>
        <v>9395.762999999999</v>
      </c>
      <c r="E17" s="6">
        <v>6760</v>
      </c>
      <c r="F17" s="7">
        <f t="shared" si="1"/>
        <v>1.389905769230769</v>
      </c>
    </row>
    <row r="18" spans="1:11">
      <c r="A18" s="50">
        <v>20</v>
      </c>
      <c r="B18" s="5">
        <f>JAN!Q5/1000</f>
        <v>8667.5380000000005</v>
      </c>
      <c r="C18" s="5">
        <f>(JAN!Q10+JAN!Q11)/1000</f>
        <v>624.51499999999999</v>
      </c>
      <c r="D18" s="5">
        <f t="shared" si="0"/>
        <v>9292.0529999999999</v>
      </c>
      <c r="E18" s="6">
        <v>6760</v>
      </c>
      <c r="F18" s="7">
        <f t="shared" si="1"/>
        <v>1.3745640532544379</v>
      </c>
    </row>
    <row r="19" spans="1:11" ht="15.75">
      <c r="A19" s="50">
        <v>21</v>
      </c>
      <c r="B19" s="5">
        <f>JAN!R5/1000</f>
        <v>8770.6080000000002</v>
      </c>
      <c r="C19" s="5">
        <f>(JAN!R10+JAN!R11)/1000</f>
        <v>792.16700000000003</v>
      </c>
      <c r="D19" s="5">
        <f t="shared" si="0"/>
        <v>9562.7749999999996</v>
      </c>
      <c r="E19" s="6">
        <v>6760</v>
      </c>
      <c r="F19" s="7">
        <f t="shared" si="1"/>
        <v>1.4146116863905325</v>
      </c>
      <c r="H19" s="8" t="s">
        <v>20</v>
      </c>
    </row>
    <row r="20" spans="1:11" ht="15.75">
      <c r="A20" s="50">
        <v>22</v>
      </c>
      <c r="B20" s="5">
        <f>JAN!S5/1000</f>
        <v>8735.0480000000007</v>
      </c>
      <c r="C20" s="5">
        <f>(JAN!S10+JAN!S11)/1000</f>
        <v>833.19200000000001</v>
      </c>
      <c r="D20" s="5">
        <f t="shared" si="0"/>
        <v>9568.2400000000016</v>
      </c>
      <c r="E20" s="6">
        <v>6760</v>
      </c>
      <c r="F20" s="7">
        <f t="shared" si="1"/>
        <v>1.4154201183431956</v>
      </c>
      <c r="H20" s="8" t="s">
        <v>24</v>
      </c>
      <c r="J20" s="39">
        <v>6760</v>
      </c>
      <c r="K20" s="41" t="s">
        <v>25</v>
      </c>
    </row>
    <row r="21" spans="1:11" ht="15.75">
      <c r="A21" s="50">
        <v>23</v>
      </c>
      <c r="B21" s="5">
        <f>JAN!T5/1000</f>
        <v>5883.4229999999998</v>
      </c>
      <c r="C21" s="5">
        <f>(JAN!T10+JAN!T11)/1000</f>
        <v>919.28399999999999</v>
      </c>
      <c r="D21" s="5">
        <f t="shared" si="0"/>
        <v>6802.7069999999994</v>
      </c>
      <c r="E21" s="6">
        <v>6760</v>
      </c>
      <c r="F21" s="7">
        <f t="shared" si="1"/>
        <v>1.0063176035502959</v>
      </c>
      <c r="H21" s="58" t="s">
        <v>44</v>
      </c>
      <c r="I21" s="58"/>
      <c r="J21" s="9">
        <v>5488</v>
      </c>
      <c r="K21" s="8" t="s">
        <v>25</v>
      </c>
    </row>
    <row r="22" spans="1:11" ht="15.75">
      <c r="A22" s="50">
        <v>24</v>
      </c>
      <c r="B22" s="5">
        <f>JAN!U5/1000</f>
        <v>6162.3029999999999</v>
      </c>
      <c r="C22" s="5">
        <f>(JAN!U10+JAN!U11)/1000</f>
        <v>1078.8989999999999</v>
      </c>
      <c r="D22" s="5">
        <f t="shared" si="0"/>
        <v>7241.2019999999993</v>
      </c>
      <c r="E22" s="6">
        <v>6760</v>
      </c>
      <c r="F22" s="7">
        <f t="shared" si="1"/>
        <v>1.0711837278106509</v>
      </c>
      <c r="H22" s="8" t="s">
        <v>26</v>
      </c>
      <c r="J22" s="40">
        <f>J21/J20</f>
        <v>0.81183431952662721</v>
      </c>
      <c r="K22" s="8" t="s">
        <v>25</v>
      </c>
    </row>
    <row r="23" spans="1:11" s="1" customFormat="1">
      <c r="A23" s="50">
        <v>26</v>
      </c>
      <c r="B23" s="5">
        <f>JAN!V5/1000</f>
        <v>6117.7430000000004</v>
      </c>
      <c r="C23" s="5">
        <f>(JAN!V10+JAN!V11)/1000</f>
        <v>752.12199999999996</v>
      </c>
      <c r="D23" s="5">
        <f t="shared" si="0"/>
        <v>6869.8650000000007</v>
      </c>
      <c r="E23" s="6">
        <v>6760</v>
      </c>
      <c r="F23" s="7">
        <f t="shared" si="1"/>
        <v>1.0162522189349112</v>
      </c>
      <c r="H23" s="41" t="s">
        <v>27</v>
      </c>
      <c r="I23" s="41"/>
      <c r="J23" s="42">
        <f>100%-J22</f>
        <v>0.18816568047337279</v>
      </c>
      <c r="K23" s="41" t="s">
        <v>25</v>
      </c>
    </row>
    <row r="24" spans="1:11" s="1" customFormat="1">
      <c r="A24" s="50">
        <v>27</v>
      </c>
      <c r="B24" s="5">
        <f>JAN!W5/1000</f>
        <v>6164.7179999999998</v>
      </c>
      <c r="C24" s="5">
        <f>(JAN!W10+JAN!W11)/1000</f>
        <v>866.84</v>
      </c>
      <c r="D24" s="5">
        <f t="shared" si="0"/>
        <v>7031.558</v>
      </c>
      <c r="E24" s="6">
        <v>6760</v>
      </c>
      <c r="F24" s="7">
        <f t="shared" si="1"/>
        <v>1.0401713017751479</v>
      </c>
    </row>
    <row r="25" spans="1:11" s="1" customFormat="1">
      <c r="A25" s="50">
        <v>28</v>
      </c>
      <c r="B25" s="5">
        <f>JAN!X5/1000</f>
        <v>5844.0079999999998</v>
      </c>
      <c r="C25" s="5">
        <f>(JAN!X10+JAN!X11)/1000</f>
        <v>967.23199999999997</v>
      </c>
      <c r="D25" s="5">
        <f t="shared" si="0"/>
        <v>6811.24</v>
      </c>
      <c r="E25" s="6">
        <v>6760</v>
      </c>
      <c r="F25" s="7">
        <f t="shared" si="1"/>
        <v>1.0075798816568047</v>
      </c>
    </row>
    <row r="26" spans="1:11" s="1" customFormat="1">
      <c r="A26" s="50">
        <v>29</v>
      </c>
      <c r="B26" s="5">
        <f>JAN!Y5/1000</f>
        <v>5077.3779999999997</v>
      </c>
      <c r="C26" s="5">
        <f>(JAN!Y10+JAN!Y11)/1000</f>
        <v>750.44</v>
      </c>
      <c r="D26" s="5">
        <f t="shared" si="0"/>
        <v>5827.8179999999993</v>
      </c>
      <c r="E26" s="6">
        <v>6760</v>
      </c>
      <c r="F26" s="7">
        <f t="shared" si="1"/>
        <v>0.86210325443786973</v>
      </c>
    </row>
    <row r="27" spans="1:11" s="1" customFormat="1">
      <c r="A27" s="50">
        <v>30</v>
      </c>
      <c r="B27" s="5">
        <f>JAN!Z5/1000</f>
        <v>4932.1779999999999</v>
      </c>
      <c r="C27" s="5">
        <f>(JAN!Z10+JAN!Z11)/1000</f>
        <v>541.78</v>
      </c>
      <c r="D27" s="5">
        <f t="shared" si="0"/>
        <v>5473.9579999999996</v>
      </c>
      <c r="E27" s="6">
        <v>6760</v>
      </c>
      <c r="F27" s="7">
        <f t="shared" si="1"/>
        <v>0.80975710059171591</v>
      </c>
    </row>
    <row r="28" spans="1:11" s="1" customFormat="1">
      <c r="A28" s="50">
        <v>31</v>
      </c>
      <c r="B28" s="5">
        <f>JAN!AA5/1000</f>
        <v>5059.6480000000001</v>
      </c>
      <c r="C28" s="5">
        <f>(JAN!AA10+JAN!AA11)/1000</f>
        <v>428.65899999999999</v>
      </c>
      <c r="D28" s="5">
        <f t="shared" si="0"/>
        <v>5488.3069999999998</v>
      </c>
      <c r="E28" s="6">
        <v>6760</v>
      </c>
      <c r="F28" s="7">
        <f t="shared" si="1"/>
        <v>0.81187973372781064</v>
      </c>
    </row>
    <row r="29" spans="1:11" s="1" customFormat="1">
      <c r="A29" s="10" t="s">
        <v>1</v>
      </c>
      <c r="B29" s="11">
        <f>AVERAGE(B4:B28)</f>
        <v>7713.0155999999979</v>
      </c>
      <c r="C29" s="11">
        <f>AVERAGE(C4:C28)</f>
        <v>640.91792000000009</v>
      </c>
      <c r="D29" s="11">
        <f>AVERAGE(D4:D28)</f>
        <v>8353.9335199999987</v>
      </c>
      <c r="E29" s="11">
        <f>AVERAGE(E4:E28)</f>
        <v>6760</v>
      </c>
      <c r="F29" s="12">
        <f>AVERAGE(F4:F28)</f>
        <v>1.2357889822485211</v>
      </c>
    </row>
    <row r="30" spans="1:11" s="1" customFormat="1">
      <c r="A30" s="13" t="s">
        <v>21</v>
      </c>
      <c r="B30" s="14">
        <f>MAX(B4:B28)</f>
        <v>10993.737999999999</v>
      </c>
      <c r="C30" s="14">
        <f>MAX(C4:C28)</f>
        <v>1078.8989999999999</v>
      </c>
      <c r="D30" s="14">
        <f>MAX(D4:D28)</f>
        <v>11851.439999999999</v>
      </c>
      <c r="E30" s="15">
        <v>6760</v>
      </c>
      <c r="F30" s="16">
        <f>D30/E30</f>
        <v>1.7531715976331359</v>
      </c>
    </row>
    <row r="31" spans="1:11" s="1" customFormat="1">
      <c r="A31" s="17"/>
      <c r="B31" s="18"/>
      <c r="C31" s="18"/>
      <c r="D31" s="18"/>
      <c r="E31" s="19"/>
      <c r="F31" s="20"/>
    </row>
    <row r="32" spans="1:11" s="1" customFormat="1">
      <c r="A32" s="17"/>
      <c r="B32" s="18"/>
      <c r="C32" s="18"/>
      <c r="D32" s="18"/>
      <c r="E32" s="19"/>
      <c r="F32" s="20"/>
    </row>
    <row r="33" spans="1:19" s="1" customFormat="1">
      <c r="A33" s="21" t="s">
        <v>40</v>
      </c>
      <c r="B33" s="2"/>
      <c r="C33" s="2"/>
      <c r="D33" s="2"/>
      <c r="E33" s="2"/>
      <c r="F33" s="2"/>
    </row>
    <row r="34" spans="1:19" s="1" customFormat="1">
      <c r="A34" s="63" t="s">
        <v>17</v>
      </c>
      <c r="B34" s="65" t="s">
        <v>0</v>
      </c>
      <c r="C34" s="66"/>
      <c r="D34" s="63" t="s">
        <v>31</v>
      </c>
      <c r="E34" s="63" t="s">
        <v>18</v>
      </c>
      <c r="F34" s="63" t="s">
        <v>19</v>
      </c>
    </row>
    <row r="35" spans="1:19" s="1" customFormat="1">
      <c r="A35" s="64"/>
      <c r="B35" s="22" t="s">
        <v>28</v>
      </c>
      <c r="C35" s="22" t="s">
        <v>30</v>
      </c>
      <c r="D35" s="64"/>
      <c r="E35" s="64"/>
      <c r="F35" s="64"/>
    </row>
    <row r="36" spans="1:19">
      <c r="A36" s="50">
        <v>2</v>
      </c>
      <c r="B36" s="48">
        <f>(JAN!C12+JAN!C13+JAN!C14+JAN!C15+JAN!C16+JAN!C17+JAN!C18+JAN!C19+JAN!C20+JAN!C23)/1000</f>
        <v>8739.3914999999997</v>
      </c>
      <c r="C36" s="36">
        <f>(JAN!C21+JAN!C22)/1000</f>
        <v>801.74599999999998</v>
      </c>
      <c r="D36" s="36">
        <f t="shared" ref="D36:D60" si="2">B36+C36</f>
        <v>9541.1374999999989</v>
      </c>
      <c r="E36" s="37">
        <v>12000</v>
      </c>
      <c r="F36" s="38">
        <f>D36/E36</f>
        <v>0.79509479166666652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s="1" customFormat="1">
      <c r="A37" s="50">
        <v>3</v>
      </c>
      <c r="B37" s="48">
        <f>(JAN!D12+JAN!D13+JAN!D14+JAN!D15+JAN!D16+JAN!D17+JAN!D18+JAN!D19+JAN!D20+JAN!D23)/1000</f>
        <v>8684.7554999999993</v>
      </c>
      <c r="C37" s="36">
        <f>(JAN!D21+JAN!D22)/1000</f>
        <v>955.18899999999996</v>
      </c>
      <c r="D37" s="36">
        <f t="shared" si="2"/>
        <v>9639.9444999999996</v>
      </c>
      <c r="E37" s="37">
        <v>12000</v>
      </c>
      <c r="F37" s="38">
        <f t="shared" ref="F37:F60" si="3">D37/E37</f>
        <v>0.80332870833333325</v>
      </c>
      <c r="H37" s="2"/>
      <c r="J37" s="2"/>
      <c r="K37" s="2"/>
    </row>
    <row r="38" spans="1:19" s="1" customFormat="1">
      <c r="A38" s="50">
        <v>5</v>
      </c>
      <c r="B38" s="48">
        <f>(JAN!E12+JAN!E13+JAN!E14+JAN!E15+JAN!E16+JAN!E17+JAN!E18+JAN!E19+JAN!E20+JAN!E23)/1000</f>
        <v>10139.0645</v>
      </c>
      <c r="C38" s="36">
        <f>(JAN!E21+JAN!E22)/1000</f>
        <v>837.62400000000002</v>
      </c>
      <c r="D38" s="36">
        <f t="shared" si="2"/>
        <v>10976.6885</v>
      </c>
      <c r="E38" s="37">
        <v>12000</v>
      </c>
      <c r="F38" s="38">
        <f t="shared" si="3"/>
        <v>0.91472404166666665</v>
      </c>
      <c r="H38" s="2"/>
      <c r="J38" s="2"/>
      <c r="K38" s="2"/>
    </row>
    <row r="39" spans="1:19" s="1" customFormat="1">
      <c r="A39" s="50">
        <v>6</v>
      </c>
      <c r="B39" s="48">
        <f>(JAN!F12+JAN!F13+JAN!F14+JAN!F15+JAN!F16+JAN!F17+JAN!F18+JAN!F19+JAN!F20+JAN!F23)/1000</f>
        <v>9857.5835000000006</v>
      </c>
      <c r="C39" s="36">
        <f>(JAN!F21+JAN!F22)/1000</f>
        <v>800.23299999999995</v>
      </c>
      <c r="D39" s="36">
        <f t="shared" si="2"/>
        <v>10657.816500000001</v>
      </c>
      <c r="E39" s="37">
        <v>12000</v>
      </c>
      <c r="F39" s="38">
        <f t="shared" si="3"/>
        <v>0.88815137500000008</v>
      </c>
    </row>
    <row r="40" spans="1:19" s="1" customFormat="1">
      <c r="A40" s="50">
        <v>7</v>
      </c>
      <c r="B40" s="48">
        <f>(JAN!G12+JAN!G13+JAN!G14+JAN!G15+JAN!G16+JAN!G17+JAN!G18+JAN!G19+JAN!G20+JAN!G23)/1000</f>
        <v>9095.5764999999992</v>
      </c>
      <c r="C40" s="36">
        <f>(JAN!G21+JAN!G22)/1000</f>
        <v>605.85900000000004</v>
      </c>
      <c r="D40" s="36">
        <f t="shared" si="2"/>
        <v>9701.4354999999996</v>
      </c>
      <c r="E40" s="37">
        <v>12000</v>
      </c>
      <c r="F40" s="38">
        <f t="shared" si="3"/>
        <v>0.8084529583333333</v>
      </c>
    </row>
    <row r="41" spans="1:19" s="1" customFormat="1">
      <c r="A41" s="50">
        <v>8</v>
      </c>
      <c r="B41" s="48">
        <f>(JAN!H12+JAN!H13+JAN!H14+JAN!H15+JAN!H16+JAN!H17+JAN!H18+JAN!H19+JAN!H20+JAN!H23)/1000</f>
        <v>8664.4025000000001</v>
      </c>
      <c r="C41" s="36">
        <f>(JAN!H21+JAN!H22)/1000</f>
        <v>300.947</v>
      </c>
      <c r="D41" s="36">
        <f t="shared" si="2"/>
        <v>8965.3495000000003</v>
      </c>
      <c r="E41" s="37">
        <v>12000</v>
      </c>
      <c r="F41" s="38">
        <f t="shared" si="3"/>
        <v>0.7471124583333334</v>
      </c>
    </row>
    <row r="42" spans="1:19" s="1" customFormat="1">
      <c r="A42" s="50">
        <v>9</v>
      </c>
      <c r="B42" s="48">
        <f>(JAN!I12+JAN!I13+JAN!I14+JAN!I15+JAN!I16+JAN!I17+JAN!I18+JAN!I19+JAN!I20+JAN!I23)/1000</f>
        <v>7771.7065000000002</v>
      </c>
      <c r="C42" s="36">
        <f>(JAN!I21+JAN!I22)/1000</f>
        <v>462.79500000000002</v>
      </c>
      <c r="D42" s="36">
        <f t="shared" si="2"/>
        <v>8234.5015000000003</v>
      </c>
      <c r="E42" s="37">
        <v>12000</v>
      </c>
      <c r="F42" s="38">
        <f t="shared" si="3"/>
        <v>0.68620845833333333</v>
      </c>
    </row>
    <row r="43" spans="1:19" s="1" customFormat="1">
      <c r="A43" s="50">
        <v>10</v>
      </c>
      <c r="B43" s="48">
        <f>(JAN!J12+JAN!J13+JAN!J14+JAN!J15+JAN!J16+JAN!J17+JAN!J18+JAN!J19+JAN!J20+JAN!J23)/1000</f>
        <v>7053.2470000000003</v>
      </c>
      <c r="C43" s="36">
        <f>(JAN!J21+JAN!J22)/1000</f>
        <v>289.33600000000001</v>
      </c>
      <c r="D43" s="36">
        <f t="shared" si="2"/>
        <v>7342.5830000000005</v>
      </c>
      <c r="E43" s="37">
        <v>12000</v>
      </c>
      <c r="F43" s="38">
        <f t="shared" si="3"/>
        <v>0.61188191666666669</v>
      </c>
    </row>
    <row r="44" spans="1:19" s="1" customFormat="1">
      <c r="A44" s="50">
        <v>12</v>
      </c>
      <c r="B44" s="48">
        <f>(JAN!K12+JAN!K13+JAN!K14+JAN!K15+JAN!K16+JAN!K17+JAN!K18+JAN!K19+JAN!K20+JAN!K23)/1000</f>
        <v>6998.1544999999996</v>
      </c>
      <c r="C44" s="36">
        <f>(JAN!K21+JAN!K22)/1000</f>
        <v>498.774</v>
      </c>
      <c r="D44" s="36">
        <f t="shared" si="2"/>
        <v>7496.9285</v>
      </c>
      <c r="E44" s="37">
        <v>12000</v>
      </c>
      <c r="F44" s="38">
        <f t="shared" si="3"/>
        <v>0.62474404166666664</v>
      </c>
    </row>
    <row r="45" spans="1:19" s="1" customFormat="1">
      <c r="A45" s="50">
        <v>13</v>
      </c>
      <c r="B45" s="48">
        <f>(JAN!L12+JAN!L13+JAN!L14+JAN!L15+JAN!L16+JAN!L17+JAN!L18+JAN!L19+JAN!L20+JAN!L23)/1000</f>
        <v>7306.4674999999997</v>
      </c>
      <c r="C45" s="36">
        <f>(JAN!L21+JAN!L22)/1000</f>
        <v>491.67700000000002</v>
      </c>
      <c r="D45" s="36">
        <f t="shared" si="2"/>
        <v>7798.1444999999994</v>
      </c>
      <c r="E45" s="37">
        <v>12000</v>
      </c>
      <c r="F45" s="38">
        <f t="shared" si="3"/>
        <v>0.64984537499999995</v>
      </c>
    </row>
    <row r="46" spans="1:19" s="1" customFormat="1">
      <c r="A46" s="50">
        <v>14</v>
      </c>
      <c r="B46" s="48">
        <f>(JAN!M12+JAN!M13+JAN!M14+JAN!M15+JAN!M16+JAN!M17+JAN!M18+JAN!M19+JAN!M20+JAN!M23)/1000</f>
        <v>7417.5874999999996</v>
      </c>
      <c r="C46" s="36">
        <f>(JAN!M21+JAN!M22)/1000</f>
        <v>652.54499999999996</v>
      </c>
      <c r="D46" s="36">
        <f t="shared" si="2"/>
        <v>8070.1324999999997</v>
      </c>
      <c r="E46" s="37">
        <v>12000</v>
      </c>
      <c r="F46" s="38">
        <f t="shared" si="3"/>
        <v>0.67251104166666664</v>
      </c>
    </row>
    <row r="47" spans="1:19" s="1" customFormat="1">
      <c r="A47" s="50">
        <v>15</v>
      </c>
      <c r="B47" s="48">
        <f>(JAN!N12+JAN!N13+JAN!N14+JAN!N15+JAN!N16+JAN!N17+JAN!N18+JAN!N19+JAN!N20+JAN!N23)/1000</f>
        <v>7307.4515000000001</v>
      </c>
      <c r="C47" s="36">
        <f>(JAN!N21+JAN!N22)/1000</f>
        <v>407.43599999999998</v>
      </c>
      <c r="D47" s="36">
        <f t="shared" si="2"/>
        <v>7714.8874999999998</v>
      </c>
      <c r="E47" s="37">
        <v>12000</v>
      </c>
      <c r="F47" s="38">
        <f t="shared" si="3"/>
        <v>0.6429072916666666</v>
      </c>
    </row>
    <row r="48" spans="1:19" s="1" customFormat="1">
      <c r="A48" s="50">
        <v>17</v>
      </c>
      <c r="B48" s="48">
        <f>(JAN!O12+JAN!O13+JAN!O14+JAN!O15+JAN!O16+JAN!O17+JAN!O18+JAN!O19+JAN!O20+JAN!O23)/1000</f>
        <v>6561.7844999999998</v>
      </c>
      <c r="C48" s="36">
        <f>(JAN!O21+JAN!O22)/1000</f>
        <v>413.91300000000001</v>
      </c>
      <c r="D48" s="36">
        <f t="shared" si="2"/>
        <v>6975.6975000000002</v>
      </c>
      <c r="E48" s="37">
        <v>12000</v>
      </c>
      <c r="F48" s="38">
        <f t="shared" si="3"/>
        <v>0.58130812500000006</v>
      </c>
    </row>
    <row r="49" spans="1:11" s="1" customFormat="1">
      <c r="A49" s="50">
        <v>19</v>
      </c>
      <c r="B49" s="48">
        <f>(JAN!P12+JAN!P13+JAN!P14+JAN!P15+JAN!P16+JAN!P17+JAN!P18+JAN!P19+JAN!P20+JAN!P23)/1000</f>
        <v>6842.0505000000003</v>
      </c>
      <c r="C49" s="36">
        <f>(JAN!P21+JAN!P22)/1000</f>
        <v>413.91300000000001</v>
      </c>
      <c r="D49" s="36">
        <f t="shared" si="2"/>
        <v>7255.9634999999998</v>
      </c>
      <c r="E49" s="37">
        <v>12000</v>
      </c>
      <c r="F49" s="38">
        <f t="shared" si="3"/>
        <v>0.60466362500000004</v>
      </c>
    </row>
    <row r="50" spans="1:11" s="1" customFormat="1">
      <c r="A50" s="50">
        <v>20</v>
      </c>
      <c r="B50" s="48">
        <f>(JAN!Q12+JAN!Q13+JAN!Q14+JAN!Q15+JAN!Q16+JAN!Q17+JAN!Q18+JAN!Q19+JAN!Q20+JAN!Q23)/1000</f>
        <v>6833.2775000000001</v>
      </c>
      <c r="C50" s="36">
        <f>(JAN!Q21+JAN!Q22)/1000</f>
        <v>413.91300000000001</v>
      </c>
      <c r="D50" s="36">
        <f t="shared" si="2"/>
        <v>7247.1905000000006</v>
      </c>
      <c r="E50" s="37">
        <v>12000</v>
      </c>
      <c r="F50" s="38">
        <f t="shared" si="3"/>
        <v>0.60393254166666677</v>
      </c>
    </row>
    <row r="51" spans="1:11" s="1" customFormat="1">
      <c r="A51" s="50">
        <v>21</v>
      </c>
      <c r="B51" s="48">
        <f>(JAN!R12+JAN!R13+JAN!R14+JAN!R15+JAN!R16+JAN!R17+JAN!R18+JAN!R19+JAN!R20+JAN!R23)/1000</f>
        <v>6634.1265000000003</v>
      </c>
      <c r="C51" s="36">
        <f>(JAN!R21+JAN!R22)/1000</f>
        <v>656.40499999999997</v>
      </c>
      <c r="D51" s="36">
        <f t="shared" si="2"/>
        <v>7290.5315000000001</v>
      </c>
      <c r="E51" s="37">
        <v>12000</v>
      </c>
      <c r="F51" s="38">
        <f t="shared" si="3"/>
        <v>0.60754429166666668</v>
      </c>
    </row>
    <row r="52" spans="1:11" s="1" customFormat="1">
      <c r="A52" s="50">
        <v>22</v>
      </c>
      <c r="B52" s="48">
        <f>(JAN!S12+JAN!S13+JAN!S14+JAN!S15+JAN!S16+JAN!S17+JAN!S18+JAN!S19+JAN!S20+JAN!S23)/1000</f>
        <v>6814.0844999999999</v>
      </c>
      <c r="C52" s="36">
        <f>(JAN!S21+JAN!S22)/1000</f>
        <v>633.68799999999999</v>
      </c>
      <c r="D52" s="36">
        <f t="shared" si="2"/>
        <v>7447.7725</v>
      </c>
      <c r="E52" s="37">
        <v>12000</v>
      </c>
      <c r="F52" s="38">
        <f t="shared" si="3"/>
        <v>0.62064770833333338</v>
      </c>
    </row>
    <row r="53" spans="1:11" s="1" customFormat="1" ht="15.75">
      <c r="A53" s="50">
        <v>23</v>
      </c>
      <c r="B53" s="48">
        <f>(JAN!T12+JAN!T13+JAN!T14+JAN!T15+JAN!T16+JAN!T17+JAN!T18+JAN!T19+JAN!T20+JAN!T23)/1000</f>
        <v>7144.0204999999996</v>
      </c>
      <c r="C53" s="36">
        <f>(JAN!T21+JAN!T22)/1000</f>
        <v>521.51800000000003</v>
      </c>
      <c r="D53" s="36">
        <f t="shared" si="2"/>
        <v>7665.5384999999997</v>
      </c>
      <c r="E53" s="37">
        <v>12000</v>
      </c>
      <c r="F53" s="38">
        <f t="shared" si="3"/>
        <v>0.63879487499999998</v>
      </c>
      <c r="H53" s="8" t="s">
        <v>22</v>
      </c>
    </row>
    <row r="54" spans="1:11" s="1" customFormat="1" ht="15.75">
      <c r="A54" s="50">
        <v>24</v>
      </c>
      <c r="B54" s="48">
        <f>(JAN!U12+JAN!U13+JAN!U14+JAN!U15+JAN!U16+JAN!U17+JAN!U18+JAN!U19+JAN!U20+JAN!U23)/1000</f>
        <v>7099.2685000000001</v>
      </c>
      <c r="C54" s="36">
        <f>(JAN!U21+JAN!U22)/1000</f>
        <v>416.97699999999998</v>
      </c>
      <c r="D54" s="36">
        <f t="shared" si="2"/>
        <v>7516.2455</v>
      </c>
      <c r="E54" s="37">
        <v>12000</v>
      </c>
      <c r="F54" s="38">
        <f t="shared" si="3"/>
        <v>0.62635379166666671</v>
      </c>
      <c r="H54" s="8" t="s">
        <v>23</v>
      </c>
    </row>
    <row r="55" spans="1:11" s="1" customFormat="1" ht="15.75">
      <c r="A55" s="50">
        <v>26</v>
      </c>
      <c r="B55" s="48">
        <f>(JAN!V12+JAN!V13+JAN!V14+JAN!V15+JAN!V16+JAN!V17+JAN!V18+JAN!V19+JAN!V20+JAN!V23)/1000</f>
        <v>7708.6175000000003</v>
      </c>
      <c r="C55" s="36">
        <f>(JAN!V21+JAN!V22)/1000</f>
        <v>955.24300000000005</v>
      </c>
      <c r="D55" s="36">
        <f t="shared" si="2"/>
        <v>8663.8605000000007</v>
      </c>
      <c r="E55" s="37">
        <v>12000</v>
      </c>
      <c r="F55" s="38">
        <f t="shared" si="3"/>
        <v>0.72198837500000002</v>
      </c>
      <c r="H55" s="8" t="s">
        <v>24</v>
      </c>
      <c r="I55" s="8"/>
      <c r="J55" s="39">
        <v>12000</v>
      </c>
      <c r="K55" s="8" t="s">
        <v>25</v>
      </c>
    </row>
    <row r="56" spans="1:11" s="1" customFormat="1" ht="15.75">
      <c r="A56" s="50">
        <v>27</v>
      </c>
      <c r="B56" s="48">
        <f>(JAN!W12+JAN!W13+JAN!W14+JAN!W15+JAN!W16+JAN!W17+JAN!W18+JAN!W19+JAN!W20+JAN!W23)/1000</f>
        <v>7459.0964999999997</v>
      </c>
      <c r="C56" s="36">
        <f>(JAN!W21+JAN!W22)/1000</f>
        <v>753.83199999999999</v>
      </c>
      <c r="D56" s="36">
        <f t="shared" si="2"/>
        <v>8212.9285</v>
      </c>
      <c r="E56" s="37">
        <v>12000</v>
      </c>
      <c r="F56" s="38">
        <f t="shared" si="3"/>
        <v>0.68441070833333328</v>
      </c>
      <c r="H56" s="58" t="s">
        <v>44</v>
      </c>
      <c r="I56" s="58"/>
      <c r="J56" s="9">
        <v>7864</v>
      </c>
      <c r="K56" s="8" t="s">
        <v>25</v>
      </c>
    </row>
    <row r="57" spans="1:11" s="1" customFormat="1" ht="15.75">
      <c r="A57" s="50">
        <v>28</v>
      </c>
      <c r="B57" s="48">
        <f>(JAN!X12+JAN!X13+JAN!X14+JAN!X15+JAN!X16+JAN!X17+JAN!X18+JAN!X19+JAN!X20+JAN!X23)/1000</f>
        <v>7393.6975000000002</v>
      </c>
      <c r="C57" s="36">
        <f>(JAN!X21+JAN!X22)/1000</f>
        <v>713.32899999999995</v>
      </c>
      <c r="D57" s="36">
        <f t="shared" si="2"/>
        <v>8107.0264999999999</v>
      </c>
      <c r="E57" s="37">
        <v>12000</v>
      </c>
      <c r="F57" s="38">
        <f t="shared" si="3"/>
        <v>0.67558554166666662</v>
      </c>
      <c r="H57" s="8" t="s">
        <v>26</v>
      </c>
      <c r="I57" s="8"/>
      <c r="J57" s="40">
        <f>J56/J55</f>
        <v>0.65533333333333332</v>
      </c>
      <c r="K57" s="8" t="s">
        <v>25</v>
      </c>
    </row>
    <row r="58" spans="1:11" s="1" customFormat="1" ht="15.75">
      <c r="A58" s="50">
        <v>29</v>
      </c>
      <c r="B58" s="48">
        <f>(JAN!Y12+JAN!Y13+JAN!Y14+JAN!Y15+JAN!Y16+JAN!Y17+JAN!Y18+JAN!Y19+JAN!Y20+JAN!Y23)/1000</f>
        <v>7210.2884999999997</v>
      </c>
      <c r="C58" s="36">
        <f>(JAN!Y21+JAN!Y22)/1000</f>
        <v>764.69500000000005</v>
      </c>
      <c r="D58" s="36">
        <f t="shared" si="2"/>
        <v>7974.9834999999994</v>
      </c>
      <c r="E58" s="37">
        <v>12000</v>
      </c>
      <c r="F58" s="38">
        <f t="shared" si="3"/>
        <v>0.66458195833333333</v>
      </c>
      <c r="H58" s="8" t="s">
        <v>27</v>
      </c>
      <c r="I58" s="8"/>
      <c r="J58" s="40">
        <f>100%-J57</f>
        <v>0.34466666666666668</v>
      </c>
      <c r="K58" s="8" t="s">
        <v>25</v>
      </c>
    </row>
    <row r="59" spans="1:11" s="1" customFormat="1" ht="15.75">
      <c r="A59" s="50">
        <v>30</v>
      </c>
      <c r="B59" s="48">
        <f>(JAN!Z12+JAN!Z13+JAN!Z14+JAN!Z15+JAN!Z16+JAN!Z17+JAN!Z18+JAN!Z19+JAN!Z20+JAN!Z23)/1000</f>
        <v>7851.2794999999996</v>
      </c>
      <c r="C59" s="36">
        <f>(JAN!Z21+JAN!Z22)/1000</f>
        <v>302.98</v>
      </c>
      <c r="D59" s="36">
        <f t="shared" si="2"/>
        <v>8154.2595000000001</v>
      </c>
      <c r="E59" s="37">
        <v>12000</v>
      </c>
      <c r="F59" s="38">
        <f t="shared" si="3"/>
        <v>0.67952162500000002</v>
      </c>
      <c r="H59" s="8"/>
      <c r="I59" s="8"/>
      <c r="J59" s="40"/>
      <c r="K59" s="8"/>
    </row>
    <row r="60" spans="1:11" s="1" customFormat="1" ht="15.75">
      <c r="A60" s="50">
        <v>31</v>
      </c>
      <c r="B60" s="48">
        <f>(JAN!AA12+JAN!AA13+JAN!AA14+JAN!AA15+JAN!AA16+JAN!AA17+JAN!AA18+JAN!AA19+JAN!AA20+JAN!AA23)/1000</f>
        <v>7655.7945</v>
      </c>
      <c r="C60" s="36">
        <f>(JAN!AA21+JAN!AA22)/1000</f>
        <v>208.029</v>
      </c>
      <c r="D60" s="36">
        <f t="shared" si="2"/>
        <v>7863.8235000000004</v>
      </c>
      <c r="E60" s="37">
        <v>12000</v>
      </c>
      <c r="F60" s="38">
        <f t="shared" si="3"/>
        <v>0.65531862500000004</v>
      </c>
      <c r="H60" s="8"/>
      <c r="I60" s="8"/>
      <c r="J60" s="40"/>
      <c r="K60" s="8"/>
    </row>
    <row r="61" spans="1:11" s="1" customFormat="1" ht="15.75">
      <c r="A61" s="23"/>
      <c r="B61" s="24">
        <f>AVERAGE(B36:B60)</f>
        <v>7689.7109999999984</v>
      </c>
      <c r="C61" s="24">
        <f>AVERAGE(C36:C60)</f>
        <v>570.90384000000017</v>
      </c>
      <c r="D61" s="24">
        <f>AVERAGE(D36:D60)</f>
        <v>8260.6148400000002</v>
      </c>
      <c r="E61" s="24">
        <f>AVERAGE(E36:E60)</f>
        <v>12000</v>
      </c>
      <c r="F61" s="46">
        <f>AVERAGE(F36:F60)</f>
        <v>0.68838457000000008</v>
      </c>
      <c r="H61" s="8"/>
      <c r="I61" s="8"/>
      <c r="J61" s="40"/>
      <c r="K61" s="8"/>
    </row>
    <row r="62" spans="1:11" s="1" customFormat="1">
      <c r="A62" s="13" t="s">
        <v>21</v>
      </c>
      <c r="B62" s="14">
        <f>MAX(B36:B60)</f>
        <v>10139.0645</v>
      </c>
      <c r="C62" s="14">
        <f>MAX(C36:C60)</f>
        <v>955.24300000000005</v>
      </c>
      <c r="D62" s="14">
        <f>MAX(D36:D60)</f>
        <v>10976.6885</v>
      </c>
      <c r="E62" s="15">
        <v>12000</v>
      </c>
      <c r="F62" s="16">
        <f>D62/E62</f>
        <v>0.91472404166666665</v>
      </c>
    </row>
    <row r="63" spans="1:11" s="1" customFormat="1">
      <c r="A63" s="17"/>
      <c r="B63" s="18"/>
      <c r="C63" s="18"/>
      <c r="D63" s="18"/>
      <c r="E63" s="19"/>
      <c r="F63" s="20"/>
    </row>
    <row r="64" spans="1:11" s="1" customFormat="1">
      <c r="A64" s="17"/>
      <c r="B64" s="18"/>
      <c r="C64" s="18"/>
      <c r="D64" s="18"/>
      <c r="E64" s="19"/>
      <c r="F64" s="20"/>
    </row>
    <row r="65" spans="1:27" s="1" customFormat="1">
      <c r="A65" s="2"/>
      <c r="B65" s="2"/>
      <c r="C65" s="2"/>
      <c r="D65" s="2"/>
      <c r="E65" s="2"/>
      <c r="F65" s="2"/>
    </row>
    <row r="66" spans="1:27" s="1" customFormat="1">
      <c r="A66" s="2"/>
      <c r="B66" s="2"/>
      <c r="C66" s="2"/>
      <c r="D66" s="2"/>
      <c r="E66" s="2"/>
      <c r="F66" s="2"/>
    </row>
    <row r="67" spans="1:27" s="1" customFormat="1">
      <c r="A67" s="2"/>
      <c r="B67" s="2"/>
      <c r="C67" s="2"/>
      <c r="D67" s="2"/>
      <c r="E67" s="2"/>
      <c r="F67" s="2"/>
    </row>
    <row r="68" spans="1:27" s="1" customFormat="1">
      <c r="A68" s="2"/>
      <c r="B68" s="2"/>
      <c r="C68" s="2"/>
      <c r="D68" s="2"/>
      <c r="E68" s="2"/>
      <c r="F68" s="2"/>
    </row>
    <row r="69" spans="1:27" s="1" customFormat="1">
      <c r="A69" s="2"/>
      <c r="B69" s="2"/>
      <c r="C69" s="2"/>
      <c r="D69" s="2"/>
      <c r="E69" s="2"/>
      <c r="F69" s="2"/>
    </row>
    <row r="70" spans="1:27" s="1" customFormat="1">
      <c r="A70" s="2"/>
      <c r="B70" s="2"/>
      <c r="C70" s="2"/>
      <c r="D70" s="2"/>
      <c r="E70" s="2"/>
      <c r="F70" s="2"/>
    </row>
    <row r="71" spans="1:27">
      <c r="T71" s="1"/>
      <c r="U71" s="1"/>
      <c r="V71" s="1"/>
      <c r="W71" s="1"/>
      <c r="X71" s="1"/>
      <c r="Y71" s="1"/>
      <c r="Z71" s="1"/>
      <c r="AA71" s="1"/>
    </row>
    <row r="72" spans="1:27">
      <c r="T72" s="1"/>
    </row>
    <row r="73" spans="1:27">
      <c r="T73" s="1"/>
    </row>
    <row r="74" spans="1:27">
      <c r="T74" s="1"/>
    </row>
    <row r="75" spans="1:27">
      <c r="T75" s="1"/>
    </row>
  </sheetData>
  <mergeCells count="12">
    <mergeCell ref="H56:I56"/>
    <mergeCell ref="A2:A3"/>
    <mergeCell ref="B2:C2"/>
    <mergeCell ref="D2:D3"/>
    <mergeCell ref="E2:E3"/>
    <mergeCell ref="F2:F3"/>
    <mergeCell ref="H21:I21"/>
    <mergeCell ref="A34:A35"/>
    <mergeCell ref="B34:C34"/>
    <mergeCell ref="D34:D35"/>
    <mergeCell ref="E34:E35"/>
    <mergeCell ref="F34:F35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8231-441A-4254-BA46-58B3EC6AB22E}">
  <sheetPr>
    <tabColor rgb="FFFAB6E3"/>
  </sheetPr>
  <dimension ref="A1:Z28"/>
  <sheetViews>
    <sheetView zoomScale="93" zoomScaleNormal="93" workbookViewId="0">
      <pane xSplit="2" ySplit="4" topLeftCell="M14" activePane="bottomRight" state="frozen"/>
      <selection activeCell="J63" sqref="J63"/>
      <selection pane="topRight" activeCell="J63" sqref="J63"/>
      <selection pane="bottomLeft" activeCell="J63" sqref="J63"/>
      <selection pane="bottomRight" activeCell="S28" sqref="S28"/>
    </sheetView>
  </sheetViews>
  <sheetFormatPr defaultColWidth="9.140625" defaultRowHeight="15"/>
  <cols>
    <col min="1" max="1" width="18.5703125" customWidth="1"/>
    <col min="2" max="2" width="22.85546875" customWidth="1"/>
    <col min="3" max="5" width="10.85546875" customWidth="1"/>
    <col min="6" max="6" width="9.7109375" customWidth="1"/>
    <col min="7" max="7" width="10.85546875" bestFit="1" customWidth="1"/>
    <col min="8" max="8" width="10.85546875" customWidth="1"/>
    <col min="9" max="9" width="9.7109375" customWidth="1"/>
    <col min="10" max="25" width="10.85546875" customWidth="1"/>
    <col min="26" max="26" width="11.42578125" customWidth="1"/>
  </cols>
  <sheetData>
    <row r="1" spans="1:26" ht="18.75">
      <c r="A1" s="25" t="s">
        <v>41</v>
      </c>
      <c r="B1" s="26"/>
    </row>
    <row r="2" spans="1:26" ht="15.95" customHeight="1">
      <c r="A2" s="27"/>
      <c r="B2" s="28"/>
    </row>
    <row r="3" spans="1:26" ht="18.75" customHeight="1">
      <c r="A3" s="67" t="s">
        <v>0</v>
      </c>
      <c r="B3" s="67"/>
      <c r="C3" s="29">
        <v>2</v>
      </c>
      <c r="D3" s="29">
        <v>3</v>
      </c>
      <c r="E3" s="29">
        <v>4</v>
      </c>
      <c r="F3" s="29">
        <v>5</v>
      </c>
      <c r="G3" s="29">
        <v>6</v>
      </c>
      <c r="H3" s="29">
        <v>7</v>
      </c>
      <c r="I3" s="29">
        <v>9</v>
      </c>
      <c r="J3" s="29">
        <v>10</v>
      </c>
      <c r="K3" s="29">
        <v>11</v>
      </c>
      <c r="L3" s="29">
        <v>12</v>
      </c>
      <c r="M3" s="29">
        <v>13</v>
      </c>
      <c r="N3" s="29">
        <v>14</v>
      </c>
      <c r="O3" s="29">
        <v>16</v>
      </c>
      <c r="P3" s="29">
        <v>18</v>
      </c>
      <c r="Q3" s="29">
        <v>19</v>
      </c>
      <c r="R3" s="29">
        <v>20</v>
      </c>
      <c r="S3" s="29">
        <v>21</v>
      </c>
      <c r="T3" s="29">
        <v>23</v>
      </c>
      <c r="U3" s="29">
        <v>24</v>
      </c>
      <c r="V3" s="29">
        <v>25</v>
      </c>
      <c r="W3" s="29">
        <v>26</v>
      </c>
      <c r="X3" s="29">
        <v>27</v>
      </c>
      <c r="Y3" s="29">
        <v>28</v>
      </c>
      <c r="Z3" s="34" t="s">
        <v>1</v>
      </c>
    </row>
    <row r="4" spans="1:26" ht="9" customHeight="1">
      <c r="A4" s="3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34"/>
    </row>
    <row r="5" spans="1:26" ht="18.75" customHeight="1">
      <c r="A5" s="68" t="s">
        <v>2</v>
      </c>
      <c r="B5" s="31" t="s">
        <v>3</v>
      </c>
      <c r="C5" s="49">
        <v>3007580</v>
      </c>
      <c r="D5" s="32">
        <v>2824480</v>
      </c>
      <c r="E5" s="32">
        <v>3004315</v>
      </c>
      <c r="F5" s="32">
        <v>2473565</v>
      </c>
      <c r="G5" s="32">
        <v>2927515</v>
      </c>
      <c r="H5" s="32">
        <v>2631955</v>
      </c>
      <c r="I5" s="32">
        <v>2448115</v>
      </c>
      <c r="J5" s="32">
        <v>2240285</v>
      </c>
      <c r="K5" s="32">
        <v>2318845</v>
      </c>
      <c r="L5" s="32">
        <v>2186375</v>
      </c>
      <c r="M5" s="32">
        <v>2320715</v>
      </c>
      <c r="N5" s="32">
        <v>1452195</v>
      </c>
      <c r="O5" s="32">
        <v>2066135</v>
      </c>
      <c r="P5" s="32">
        <v>2315175</v>
      </c>
      <c r="Q5" s="32">
        <v>2620935</v>
      </c>
      <c r="R5" s="32">
        <v>2923755</v>
      </c>
      <c r="S5" s="32">
        <v>3971765</v>
      </c>
      <c r="T5" s="32">
        <v>4582915</v>
      </c>
      <c r="U5" s="32">
        <v>4243885</v>
      </c>
      <c r="V5" s="32">
        <v>4002785</v>
      </c>
      <c r="W5" s="32">
        <v>3688905</v>
      </c>
      <c r="X5" s="32">
        <v>3903965</v>
      </c>
      <c r="Y5" s="32">
        <v>2997345</v>
      </c>
      <c r="Z5" s="35">
        <f t="shared" ref="Z5:Z25" si="0">AVERAGE(C5:Y5)</f>
        <v>2919717.6086956523</v>
      </c>
    </row>
    <row r="6" spans="1:26" ht="18.75" customHeight="1">
      <c r="A6" s="69"/>
      <c r="B6" s="31" t="s">
        <v>4</v>
      </c>
      <c r="C6" s="32">
        <v>21811</v>
      </c>
      <c r="D6" s="32">
        <v>17793</v>
      </c>
      <c r="E6" s="32">
        <v>318378</v>
      </c>
      <c r="F6" s="32">
        <v>306327</v>
      </c>
      <c r="G6" s="32">
        <v>303642</v>
      </c>
      <c r="H6" s="32">
        <v>299599</v>
      </c>
      <c r="I6" s="32">
        <v>298253</v>
      </c>
      <c r="J6" s="32">
        <v>294224</v>
      </c>
      <c r="K6" s="32">
        <v>288792</v>
      </c>
      <c r="L6" s="32">
        <v>281754</v>
      </c>
      <c r="M6" s="32">
        <v>269064</v>
      </c>
      <c r="N6" s="32">
        <v>256980</v>
      </c>
      <c r="O6" s="32">
        <v>256980</v>
      </c>
      <c r="P6" s="32">
        <v>256980</v>
      </c>
      <c r="Q6" s="32">
        <v>243029</v>
      </c>
      <c r="R6" s="32">
        <v>243029</v>
      </c>
      <c r="S6" s="32">
        <v>243029</v>
      </c>
      <c r="T6" s="32">
        <v>243029</v>
      </c>
      <c r="U6" s="32">
        <v>233635</v>
      </c>
      <c r="V6" s="32">
        <v>232235</v>
      </c>
      <c r="W6" s="32">
        <v>214840</v>
      </c>
      <c r="X6" s="32">
        <v>189327</v>
      </c>
      <c r="Y6" s="32">
        <v>181285</v>
      </c>
      <c r="Z6" s="35">
        <f t="shared" si="0"/>
        <v>238870.21739130435</v>
      </c>
    </row>
    <row r="7" spans="1:26" ht="18.75" customHeight="1">
      <c r="A7" s="69"/>
      <c r="B7" s="31" t="s">
        <v>5</v>
      </c>
      <c r="C7" s="32">
        <v>531566</v>
      </c>
      <c r="D7" s="32">
        <v>524949</v>
      </c>
      <c r="E7" s="32">
        <v>499564</v>
      </c>
      <c r="F7" s="32">
        <v>499564</v>
      </c>
      <c r="G7" s="32">
        <v>499564</v>
      </c>
      <c r="H7" s="32">
        <v>495149</v>
      </c>
      <c r="I7" s="32">
        <v>492944</v>
      </c>
      <c r="J7" s="32">
        <v>492944</v>
      </c>
      <c r="K7" s="32">
        <v>490737</v>
      </c>
      <c r="L7" s="32">
        <v>484114</v>
      </c>
      <c r="M7" s="32">
        <v>480803</v>
      </c>
      <c r="N7" s="32">
        <v>469777</v>
      </c>
      <c r="O7" s="32">
        <v>469777</v>
      </c>
      <c r="P7" s="32">
        <v>469777</v>
      </c>
      <c r="Q7" s="32">
        <v>459848</v>
      </c>
      <c r="R7" s="32">
        <v>459848</v>
      </c>
      <c r="S7" s="32">
        <v>459848</v>
      </c>
      <c r="T7" s="32">
        <v>433866</v>
      </c>
      <c r="U7" s="32">
        <v>428343</v>
      </c>
      <c r="V7" s="32">
        <v>427242</v>
      </c>
      <c r="W7" s="32">
        <v>420632</v>
      </c>
      <c r="X7" s="32">
        <v>398582</v>
      </c>
      <c r="Y7" s="32">
        <v>383152</v>
      </c>
      <c r="Z7" s="35">
        <f t="shared" si="0"/>
        <v>468373.47826086957</v>
      </c>
    </row>
    <row r="8" spans="1:26" ht="18.75" customHeight="1">
      <c r="A8" s="69"/>
      <c r="B8" s="31" t="s">
        <v>6</v>
      </c>
      <c r="C8" s="32">
        <v>6000</v>
      </c>
      <c r="D8" s="32">
        <v>6000</v>
      </c>
      <c r="E8" s="32">
        <v>6000</v>
      </c>
      <c r="F8" s="32">
        <v>6000</v>
      </c>
      <c r="G8" s="32">
        <v>3600</v>
      </c>
      <c r="H8" s="32">
        <v>3600</v>
      </c>
      <c r="I8" s="32">
        <v>7200</v>
      </c>
      <c r="J8" s="32">
        <v>7200</v>
      </c>
      <c r="K8" s="32">
        <v>7200</v>
      </c>
      <c r="L8" s="32">
        <v>4800</v>
      </c>
      <c r="M8" s="32">
        <v>2400</v>
      </c>
      <c r="N8" s="32">
        <v>2400</v>
      </c>
      <c r="O8" s="32">
        <v>3600</v>
      </c>
      <c r="P8" s="32">
        <v>3600</v>
      </c>
      <c r="Q8" s="32">
        <v>3600</v>
      </c>
      <c r="R8" s="32">
        <v>3600</v>
      </c>
      <c r="S8" s="32">
        <v>3600</v>
      </c>
      <c r="T8" s="32">
        <v>3600</v>
      </c>
      <c r="U8" s="32">
        <v>3600</v>
      </c>
      <c r="V8" s="32">
        <v>3600</v>
      </c>
      <c r="W8" s="32">
        <v>3600</v>
      </c>
      <c r="X8" s="32">
        <v>3600</v>
      </c>
      <c r="Y8" s="32">
        <v>3600</v>
      </c>
      <c r="Z8" s="35">
        <f t="shared" si="0"/>
        <v>4434.782608695652</v>
      </c>
    </row>
    <row r="9" spans="1:26" ht="18.75" customHeight="1">
      <c r="A9" s="69"/>
      <c r="B9" s="31" t="s">
        <v>7</v>
      </c>
      <c r="C9" s="32">
        <v>33980</v>
      </c>
      <c r="D9" s="32">
        <v>33980</v>
      </c>
      <c r="E9" s="32">
        <v>32980</v>
      </c>
      <c r="F9" s="32">
        <v>39430</v>
      </c>
      <c r="G9" s="32">
        <v>39430</v>
      </c>
      <c r="H9" s="32">
        <v>38280</v>
      </c>
      <c r="I9" s="32">
        <v>43280</v>
      </c>
      <c r="J9" s="32">
        <v>43280</v>
      </c>
      <c r="K9" s="32">
        <v>43280</v>
      </c>
      <c r="L9" s="32">
        <v>40280</v>
      </c>
      <c r="M9" s="32">
        <v>40280</v>
      </c>
      <c r="N9" s="32">
        <v>39280</v>
      </c>
      <c r="O9" s="32">
        <v>46280</v>
      </c>
      <c r="P9" s="32">
        <v>46280</v>
      </c>
      <c r="Q9" s="32">
        <v>46280</v>
      </c>
      <c r="R9" s="32">
        <v>46580</v>
      </c>
      <c r="S9" s="32">
        <v>47580</v>
      </c>
      <c r="T9" s="32">
        <v>47280</v>
      </c>
      <c r="U9" s="32">
        <v>46280</v>
      </c>
      <c r="V9" s="32">
        <v>45498</v>
      </c>
      <c r="W9" s="32">
        <v>44478</v>
      </c>
      <c r="X9" s="32">
        <v>42478</v>
      </c>
      <c r="Y9" s="32">
        <v>39348</v>
      </c>
      <c r="Z9" s="35">
        <f t="shared" si="0"/>
        <v>42005.304347826088</v>
      </c>
    </row>
    <row r="10" spans="1:26" ht="18.75" customHeight="1">
      <c r="A10" s="69"/>
      <c r="B10" s="45" t="s">
        <v>29</v>
      </c>
      <c r="C10" s="44">
        <v>704945</v>
      </c>
      <c r="D10" s="44">
        <v>459655</v>
      </c>
      <c r="E10" s="44">
        <v>312945</v>
      </c>
      <c r="F10" s="44">
        <v>379873</v>
      </c>
      <c r="G10" s="44">
        <v>428925</v>
      </c>
      <c r="H10" s="44">
        <v>432120</v>
      </c>
      <c r="I10" s="44">
        <v>195430</v>
      </c>
      <c r="J10" s="44">
        <v>413799</v>
      </c>
      <c r="K10" s="44">
        <v>306507</v>
      </c>
      <c r="L10" s="44">
        <v>406297</v>
      </c>
      <c r="M10" s="44">
        <v>486550</v>
      </c>
      <c r="N10" s="44">
        <v>348703</v>
      </c>
      <c r="O10" s="44">
        <v>229630</v>
      </c>
      <c r="P10" s="44">
        <v>229630</v>
      </c>
      <c r="Q10" s="44">
        <v>229630</v>
      </c>
      <c r="R10" s="44">
        <v>518900</v>
      </c>
      <c r="S10" s="44">
        <v>685470</v>
      </c>
      <c r="T10" s="44">
        <v>685870</v>
      </c>
      <c r="U10" s="44">
        <v>800341</v>
      </c>
      <c r="V10" s="44">
        <v>391871</v>
      </c>
      <c r="W10" s="44">
        <v>406605</v>
      </c>
      <c r="X10" s="44">
        <v>437968</v>
      </c>
      <c r="Y10" s="44">
        <v>254372</v>
      </c>
      <c r="Z10" s="35">
        <f t="shared" si="0"/>
        <v>423740.69565217389</v>
      </c>
    </row>
    <row r="11" spans="1:26" ht="18.75" customHeight="1">
      <c r="A11" s="69"/>
      <c r="B11" s="45" t="s">
        <v>32</v>
      </c>
      <c r="C11" s="44">
        <v>107053</v>
      </c>
      <c r="D11" s="44">
        <v>107053</v>
      </c>
      <c r="E11" s="44">
        <v>107053</v>
      </c>
      <c r="F11" s="44">
        <v>107053</v>
      </c>
      <c r="G11" s="44">
        <v>66293</v>
      </c>
      <c r="H11" s="44">
        <v>48153</v>
      </c>
      <c r="I11" s="44">
        <v>48153</v>
      </c>
      <c r="J11" s="44">
        <v>48153</v>
      </c>
      <c r="K11" s="44">
        <v>48153</v>
      </c>
      <c r="L11" s="44">
        <v>48153</v>
      </c>
      <c r="M11" s="44">
        <v>48153</v>
      </c>
      <c r="N11" s="44">
        <v>48153</v>
      </c>
      <c r="O11" s="44">
        <v>48153</v>
      </c>
      <c r="P11" s="44">
        <v>48153</v>
      </c>
      <c r="Q11" s="44">
        <v>48153</v>
      </c>
      <c r="R11" s="44">
        <v>48153</v>
      </c>
      <c r="S11" s="44">
        <v>48153</v>
      </c>
      <c r="T11" s="44">
        <v>48388</v>
      </c>
      <c r="U11" s="44">
        <v>48388</v>
      </c>
      <c r="V11" s="44">
        <v>48388</v>
      </c>
      <c r="W11" s="44">
        <v>48388</v>
      </c>
      <c r="X11" s="44">
        <v>48388</v>
      </c>
      <c r="Y11" s="44">
        <v>48388</v>
      </c>
      <c r="Z11" s="35">
        <f t="shared" si="0"/>
        <v>59246.478260869568</v>
      </c>
    </row>
    <row r="12" spans="1:26" ht="18.75" customHeight="1">
      <c r="A12" s="70" t="s">
        <v>8</v>
      </c>
      <c r="B12" s="31" t="s">
        <v>9</v>
      </c>
      <c r="C12" s="32">
        <v>3833853</v>
      </c>
      <c r="D12" s="32">
        <v>3660457</v>
      </c>
      <c r="E12" s="32">
        <v>3678447</v>
      </c>
      <c r="F12" s="32">
        <v>3545224</v>
      </c>
      <c r="G12" s="32">
        <v>3282493</v>
      </c>
      <c r="H12" s="32">
        <v>2884429</v>
      </c>
      <c r="I12" s="32">
        <v>2498571</v>
      </c>
      <c r="J12" s="32">
        <v>1830594</v>
      </c>
      <c r="K12" s="32">
        <v>1770887</v>
      </c>
      <c r="L12" s="32">
        <v>1739295</v>
      </c>
      <c r="M12" s="32">
        <v>1739295</v>
      </c>
      <c r="N12" s="32">
        <v>2467543</v>
      </c>
      <c r="O12" s="32">
        <v>2050550</v>
      </c>
      <c r="P12" s="32">
        <v>1671718</v>
      </c>
      <c r="Q12" s="32">
        <v>1407773</v>
      </c>
      <c r="R12" s="32">
        <v>1190963</v>
      </c>
      <c r="S12" s="32">
        <v>1061343</v>
      </c>
      <c r="T12" s="32">
        <v>941696</v>
      </c>
      <c r="U12" s="32">
        <v>1668951</v>
      </c>
      <c r="V12" s="32">
        <v>2013873</v>
      </c>
      <c r="W12" s="32">
        <v>1566315</v>
      </c>
      <c r="X12" s="32">
        <v>1691654</v>
      </c>
      <c r="Y12" s="32">
        <v>1968057</v>
      </c>
      <c r="Z12" s="35">
        <f t="shared" si="0"/>
        <v>2181042.6521739131</v>
      </c>
    </row>
    <row r="13" spans="1:26" ht="18.75" customHeight="1">
      <c r="A13" s="71"/>
      <c r="B13" s="31" t="s">
        <v>33</v>
      </c>
      <c r="C13" s="32">
        <v>424647</v>
      </c>
      <c r="D13" s="32">
        <v>420134</v>
      </c>
      <c r="E13" s="32">
        <v>450820</v>
      </c>
      <c r="F13" s="32">
        <v>494158</v>
      </c>
      <c r="G13" s="32">
        <v>450984</v>
      </c>
      <c r="H13" s="32">
        <v>499937</v>
      </c>
      <c r="I13" s="32">
        <v>496851</v>
      </c>
      <c r="J13" s="32">
        <v>378105</v>
      </c>
      <c r="K13" s="32">
        <v>418274</v>
      </c>
      <c r="L13" s="32">
        <v>423648</v>
      </c>
      <c r="M13" s="32">
        <v>356039</v>
      </c>
      <c r="N13" s="32">
        <v>297796</v>
      </c>
      <c r="O13" s="32">
        <v>237593</v>
      </c>
      <c r="P13" s="32">
        <v>267439</v>
      </c>
      <c r="Q13" s="32">
        <v>265174</v>
      </c>
      <c r="R13" s="32">
        <v>287280</v>
      </c>
      <c r="S13" s="32">
        <v>296281</v>
      </c>
      <c r="T13" s="32">
        <v>318313</v>
      </c>
      <c r="U13" s="32">
        <v>305685</v>
      </c>
      <c r="V13" s="32">
        <v>285205</v>
      </c>
      <c r="W13" s="32">
        <v>300781</v>
      </c>
      <c r="X13" s="32">
        <v>308409</v>
      </c>
      <c r="Y13" s="32">
        <v>244390</v>
      </c>
      <c r="Z13" s="35">
        <f t="shared" si="0"/>
        <v>357736.65217391303</v>
      </c>
    </row>
    <row r="14" spans="1:26" ht="18.75" customHeight="1">
      <c r="A14" s="71"/>
      <c r="B14" s="31" t="s">
        <v>34</v>
      </c>
      <c r="C14" s="32">
        <v>16033</v>
      </c>
      <c r="D14" s="32">
        <v>9712</v>
      </c>
      <c r="E14" s="32">
        <v>13017</v>
      </c>
      <c r="F14" s="32">
        <v>13148</v>
      </c>
      <c r="G14" s="32">
        <v>13148</v>
      </c>
      <c r="H14" s="32">
        <v>13148</v>
      </c>
      <c r="I14" s="32">
        <v>13148</v>
      </c>
      <c r="J14" s="32">
        <v>13148</v>
      </c>
      <c r="K14" s="32">
        <v>13148</v>
      </c>
      <c r="L14" s="32">
        <v>13148</v>
      </c>
      <c r="M14" s="32">
        <v>13148</v>
      </c>
      <c r="N14" s="32">
        <v>25349</v>
      </c>
      <c r="O14" s="32">
        <v>25353</v>
      </c>
      <c r="P14" s="32">
        <v>9228</v>
      </c>
      <c r="Q14" s="32">
        <v>9228</v>
      </c>
      <c r="R14" s="32">
        <v>9330</v>
      </c>
      <c r="S14" s="32">
        <v>9330</v>
      </c>
      <c r="T14" s="32">
        <v>9330</v>
      </c>
      <c r="U14" s="32">
        <v>9322</v>
      </c>
      <c r="V14" s="32">
        <v>9322</v>
      </c>
      <c r="W14" s="32">
        <v>9322</v>
      </c>
      <c r="X14" s="32">
        <v>11116</v>
      </c>
      <c r="Y14" s="32">
        <v>9322</v>
      </c>
      <c r="Z14" s="35">
        <f t="shared" si="0"/>
        <v>12586.869565217392</v>
      </c>
    </row>
    <row r="15" spans="1:26" ht="18.75" customHeight="1">
      <c r="A15" s="71"/>
      <c r="B15" s="31" t="s">
        <v>35</v>
      </c>
      <c r="C15" s="32">
        <v>390190</v>
      </c>
      <c r="D15" s="32">
        <v>406457</v>
      </c>
      <c r="E15" s="32">
        <v>432729</v>
      </c>
      <c r="F15" s="32">
        <v>432729</v>
      </c>
      <c r="G15" s="32">
        <v>435231</v>
      </c>
      <c r="H15" s="32">
        <v>435149</v>
      </c>
      <c r="I15" s="32">
        <v>435149</v>
      </c>
      <c r="J15" s="32">
        <v>435149</v>
      </c>
      <c r="K15" s="32">
        <v>399876</v>
      </c>
      <c r="L15" s="32">
        <v>402359</v>
      </c>
      <c r="M15" s="32">
        <v>459723</v>
      </c>
      <c r="N15" s="32">
        <v>460301</v>
      </c>
      <c r="O15" s="32">
        <v>412301</v>
      </c>
      <c r="P15" s="32">
        <v>412301</v>
      </c>
      <c r="Q15" s="32">
        <v>412301</v>
      </c>
      <c r="R15" s="32">
        <v>421156</v>
      </c>
      <c r="S15" s="32">
        <v>442437</v>
      </c>
      <c r="T15" s="32">
        <v>760573</v>
      </c>
      <c r="U15" s="32">
        <v>726326</v>
      </c>
      <c r="V15" s="32">
        <v>790597</v>
      </c>
      <c r="W15" s="32">
        <v>765444</v>
      </c>
      <c r="X15" s="32">
        <v>690006</v>
      </c>
      <c r="Y15" s="32">
        <v>573904</v>
      </c>
      <c r="Z15" s="35">
        <f t="shared" si="0"/>
        <v>501408.17391304346</v>
      </c>
    </row>
    <row r="16" spans="1:26" ht="18.75" customHeight="1">
      <c r="A16" s="71"/>
      <c r="B16" s="31" t="s">
        <v>37</v>
      </c>
      <c r="C16" s="32">
        <v>889890</v>
      </c>
      <c r="D16" s="32">
        <v>889890</v>
      </c>
      <c r="E16" s="32">
        <v>889890</v>
      </c>
      <c r="F16" s="32">
        <v>889890</v>
      </c>
      <c r="G16" s="32">
        <v>889890</v>
      </c>
      <c r="H16" s="32">
        <v>889890</v>
      </c>
      <c r="I16" s="32">
        <v>889890</v>
      </c>
      <c r="J16" s="32">
        <v>1178881</v>
      </c>
      <c r="K16" s="32">
        <v>1178881</v>
      </c>
      <c r="L16" s="32">
        <v>1178881</v>
      </c>
      <c r="M16" s="32">
        <v>1178881</v>
      </c>
      <c r="N16" s="32">
        <v>1178881</v>
      </c>
      <c r="O16" s="32">
        <v>811850</v>
      </c>
      <c r="P16" s="32">
        <v>1257165</v>
      </c>
      <c r="Q16" s="32">
        <v>1257165</v>
      </c>
      <c r="R16" s="32">
        <v>1257165</v>
      </c>
      <c r="S16" s="32">
        <v>1407841</v>
      </c>
      <c r="T16" s="32">
        <v>1392845</v>
      </c>
      <c r="U16" s="32">
        <v>1309992</v>
      </c>
      <c r="V16" s="32">
        <v>1121317</v>
      </c>
      <c r="W16" s="32">
        <v>1121317</v>
      </c>
      <c r="X16" s="32">
        <v>1121317</v>
      </c>
      <c r="Y16" s="32">
        <v>1121317</v>
      </c>
      <c r="Z16" s="35">
        <f t="shared" si="0"/>
        <v>1100127.2173913044</v>
      </c>
    </row>
    <row r="17" spans="1:26" ht="18.75" customHeight="1">
      <c r="A17" s="71"/>
      <c r="B17" s="47" t="s">
        <v>36</v>
      </c>
      <c r="C17" s="32">
        <v>1354329.5</v>
      </c>
      <c r="D17" s="32">
        <v>1332256.5</v>
      </c>
      <c r="E17" s="32">
        <v>1292802.5</v>
      </c>
      <c r="F17" s="32">
        <v>1292802.5</v>
      </c>
      <c r="G17" s="32">
        <v>971199.5</v>
      </c>
      <c r="H17" s="32">
        <v>971199.5</v>
      </c>
      <c r="I17" s="32">
        <v>948903.5</v>
      </c>
      <c r="J17" s="32">
        <v>948903.5</v>
      </c>
      <c r="K17" s="32">
        <v>948903.5</v>
      </c>
      <c r="L17" s="32">
        <v>948903.5</v>
      </c>
      <c r="M17" s="32">
        <v>948903.5</v>
      </c>
      <c r="N17" s="32">
        <v>948903.5</v>
      </c>
      <c r="O17" s="32">
        <v>809555.5</v>
      </c>
      <c r="P17" s="32">
        <v>809555.5</v>
      </c>
      <c r="Q17" s="32">
        <v>809555.5</v>
      </c>
      <c r="R17" s="32">
        <v>809555.5</v>
      </c>
      <c r="S17" s="32">
        <v>704242.5</v>
      </c>
      <c r="T17" s="32">
        <v>665245.5</v>
      </c>
      <c r="U17" s="32">
        <v>665245.5</v>
      </c>
      <c r="V17" s="32">
        <v>665245.5</v>
      </c>
      <c r="W17" s="32">
        <v>776098.5</v>
      </c>
      <c r="X17" s="32">
        <v>569439.5</v>
      </c>
      <c r="Y17" s="32">
        <v>569439.5</v>
      </c>
      <c r="Z17" s="35">
        <f t="shared" si="0"/>
        <v>902660.41304347827</v>
      </c>
    </row>
    <row r="18" spans="1:26" ht="18.75" customHeight="1">
      <c r="A18" s="71"/>
      <c r="B18" s="31" t="s">
        <v>10</v>
      </c>
      <c r="C18" s="32">
        <v>684091</v>
      </c>
      <c r="D18" s="32">
        <v>684091</v>
      </c>
      <c r="E18" s="32">
        <v>684091</v>
      </c>
      <c r="F18" s="32">
        <v>689420</v>
      </c>
      <c r="G18" s="32">
        <v>689420</v>
      </c>
      <c r="H18" s="32">
        <v>689420</v>
      </c>
      <c r="I18" s="32">
        <v>689420</v>
      </c>
      <c r="J18" s="32">
        <v>689420</v>
      </c>
      <c r="K18" s="32">
        <v>687157</v>
      </c>
      <c r="L18" s="32">
        <v>687157</v>
      </c>
      <c r="M18" s="32">
        <v>687157</v>
      </c>
      <c r="N18" s="32">
        <v>687157</v>
      </c>
      <c r="O18" s="32">
        <v>690794</v>
      </c>
      <c r="P18" s="32">
        <v>690794</v>
      </c>
      <c r="Q18" s="32">
        <v>690794</v>
      </c>
      <c r="R18" s="32">
        <v>690794</v>
      </c>
      <c r="S18" s="32">
        <v>690794</v>
      </c>
      <c r="T18" s="32">
        <v>688188</v>
      </c>
      <c r="U18" s="32">
        <v>688188</v>
      </c>
      <c r="V18" s="32">
        <v>688188</v>
      </c>
      <c r="W18" s="32">
        <v>712657</v>
      </c>
      <c r="X18" s="32">
        <v>712657</v>
      </c>
      <c r="Y18" s="32">
        <v>712657</v>
      </c>
      <c r="Z18" s="35">
        <f t="shared" si="0"/>
        <v>691500.26086956519</v>
      </c>
    </row>
    <row r="19" spans="1:26" ht="18.75" customHeight="1">
      <c r="A19" s="71"/>
      <c r="B19" s="31" t="s">
        <v>11</v>
      </c>
      <c r="C19" s="32">
        <v>56900</v>
      </c>
      <c r="D19" s="32">
        <v>56900</v>
      </c>
      <c r="E19" s="32">
        <v>56900</v>
      </c>
      <c r="F19" s="32">
        <v>56900</v>
      </c>
      <c r="G19" s="32">
        <v>56900</v>
      </c>
      <c r="H19" s="32">
        <v>56900</v>
      </c>
      <c r="I19" s="32">
        <v>56900</v>
      </c>
      <c r="J19" s="32">
        <v>56900</v>
      </c>
      <c r="K19" s="32">
        <v>65102</v>
      </c>
      <c r="L19" s="32">
        <v>65102</v>
      </c>
      <c r="M19" s="32">
        <v>65102</v>
      </c>
      <c r="N19" s="32">
        <v>65102</v>
      </c>
      <c r="O19" s="32">
        <v>67986</v>
      </c>
      <c r="P19" s="32">
        <v>67986</v>
      </c>
      <c r="Q19" s="32">
        <v>69457</v>
      </c>
      <c r="R19" s="32">
        <v>69457</v>
      </c>
      <c r="S19" s="32">
        <v>69457</v>
      </c>
      <c r="T19" s="32">
        <v>66025</v>
      </c>
      <c r="U19" s="32">
        <v>66025</v>
      </c>
      <c r="V19" s="32">
        <v>66025</v>
      </c>
      <c r="W19" s="32">
        <v>102157</v>
      </c>
      <c r="X19" s="32">
        <v>102157</v>
      </c>
      <c r="Y19" s="32">
        <v>102157</v>
      </c>
      <c r="Z19" s="35">
        <f t="shared" si="0"/>
        <v>68021.608695652176</v>
      </c>
    </row>
    <row r="20" spans="1:26" ht="18.75" customHeight="1">
      <c r="A20" s="71"/>
      <c r="B20" s="31" t="s">
        <v>12</v>
      </c>
      <c r="C20" s="32">
        <v>595822</v>
      </c>
      <c r="D20" s="32">
        <v>571656</v>
      </c>
      <c r="E20" s="32">
        <v>546163</v>
      </c>
      <c r="F20" s="32">
        <v>551108</v>
      </c>
      <c r="G20" s="32">
        <v>549397</v>
      </c>
      <c r="H20" s="32">
        <v>667942</v>
      </c>
      <c r="I20" s="32">
        <v>677518</v>
      </c>
      <c r="J20" s="32">
        <v>735052</v>
      </c>
      <c r="K20" s="32">
        <v>399117</v>
      </c>
      <c r="L20" s="32">
        <v>785272</v>
      </c>
      <c r="M20" s="32">
        <v>787565</v>
      </c>
      <c r="N20" s="32">
        <v>950787</v>
      </c>
      <c r="O20" s="32">
        <v>1041397</v>
      </c>
      <c r="P20" s="32">
        <v>1115050</v>
      </c>
      <c r="Q20" s="32">
        <v>1106271</v>
      </c>
      <c r="R20" s="32">
        <v>979071</v>
      </c>
      <c r="S20" s="32">
        <v>1003245</v>
      </c>
      <c r="T20" s="32">
        <v>1003245</v>
      </c>
      <c r="U20" s="32">
        <v>959522</v>
      </c>
      <c r="V20" s="32">
        <v>875861</v>
      </c>
      <c r="W20" s="32">
        <v>871040</v>
      </c>
      <c r="X20" s="32">
        <v>1073656</v>
      </c>
      <c r="Y20" s="32">
        <v>1194428</v>
      </c>
      <c r="Z20" s="35">
        <f t="shared" si="0"/>
        <v>827834.13043478259</v>
      </c>
    </row>
    <row r="21" spans="1:26" ht="18.75" customHeight="1">
      <c r="A21" s="71"/>
      <c r="B21" s="45" t="s">
        <v>29</v>
      </c>
      <c r="C21" s="44">
        <v>139249</v>
      </c>
      <c r="D21" s="44">
        <v>225596</v>
      </c>
      <c r="E21" s="44">
        <v>494930</v>
      </c>
      <c r="F21" s="44">
        <v>558467</v>
      </c>
      <c r="G21" s="44">
        <v>432416</v>
      </c>
      <c r="H21" s="44">
        <v>573817</v>
      </c>
      <c r="I21" s="44">
        <v>850672</v>
      </c>
      <c r="J21" s="44">
        <v>728328</v>
      </c>
      <c r="K21" s="44">
        <v>550456</v>
      </c>
      <c r="L21" s="44">
        <v>695673</v>
      </c>
      <c r="M21" s="44">
        <v>544482</v>
      </c>
      <c r="N21" s="44">
        <v>462138</v>
      </c>
      <c r="O21" s="44">
        <v>353767</v>
      </c>
      <c r="P21" s="44">
        <v>239946</v>
      </c>
      <c r="Q21" s="44">
        <v>156842</v>
      </c>
      <c r="R21" s="44">
        <v>213057</v>
      </c>
      <c r="S21" s="44">
        <v>99141</v>
      </c>
      <c r="T21" s="44">
        <v>275411</v>
      </c>
      <c r="U21" s="44">
        <v>279165</v>
      </c>
      <c r="V21" s="44">
        <v>445829</v>
      </c>
      <c r="W21" s="44">
        <v>505337</v>
      </c>
      <c r="X21" s="44">
        <v>328009</v>
      </c>
      <c r="Y21" s="44">
        <v>259039</v>
      </c>
      <c r="Z21" s="35">
        <f t="shared" si="0"/>
        <v>409207.26086956525</v>
      </c>
    </row>
    <row r="22" spans="1:26" ht="18.75" customHeight="1">
      <c r="A22" s="71"/>
      <c r="B22" s="45" t="s">
        <v>32</v>
      </c>
      <c r="C22" s="44">
        <v>59819</v>
      </c>
      <c r="D22" s="44">
        <v>89668</v>
      </c>
      <c r="E22" s="44">
        <v>74624</v>
      </c>
      <c r="F22" s="44">
        <v>92223</v>
      </c>
      <c r="G22" s="44">
        <v>43586</v>
      </c>
      <c r="H22" s="44">
        <v>70221</v>
      </c>
      <c r="I22" s="44">
        <v>36625</v>
      </c>
      <c r="J22" s="44">
        <v>30196</v>
      </c>
      <c r="K22" s="44">
        <v>48834</v>
      </c>
      <c r="L22" s="44">
        <v>44728</v>
      </c>
      <c r="M22" s="44">
        <v>26854</v>
      </c>
      <c r="N22" s="44">
        <v>27928</v>
      </c>
      <c r="O22" s="44">
        <v>29754</v>
      </c>
      <c r="P22" s="44">
        <v>29754</v>
      </c>
      <c r="Q22" s="44">
        <v>54628</v>
      </c>
      <c r="R22" s="44">
        <v>28791</v>
      </c>
      <c r="S22" s="44">
        <v>24422</v>
      </c>
      <c r="T22" s="44">
        <v>234829</v>
      </c>
      <c r="U22" s="44">
        <v>94989</v>
      </c>
      <c r="V22" s="44">
        <v>85332</v>
      </c>
      <c r="W22" s="44">
        <v>88323</v>
      </c>
      <c r="X22" s="44">
        <v>83141</v>
      </c>
      <c r="Y22" s="44">
        <v>61084</v>
      </c>
      <c r="Z22" s="35">
        <f t="shared" si="0"/>
        <v>63493.608695652176</v>
      </c>
    </row>
    <row r="23" spans="1:26" ht="18.75" customHeight="1">
      <c r="A23" s="72"/>
      <c r="B23" s="31" t="s">
        <v>14</v>
      </c>
      <c r="C23" s="49">
        <v>172905</v>
      </c>
      <c r="D23" s="32">
        <v>172905</v>
      </c>
      <c r="E23" s="32">
        <v>172921</v>
      </c>
      <c r="F23" s="32">
        <v>172921</v>
      </c>
      <c r="G23" s="32">
        <v>172921</v>
      </c>
      <c r="H23" s="32">
        <v>172921</v>
      </c>
      <c r="I23" s="32">
        <v>172921</v>
      </c>
      <c r="J23" s="32">
        <v>172921</v>
      </c>
      <c r="K23" s="32">
        <v>175744</v>
      </c>
      <c r="L23" s="32">
        <v>175744</v>
      </c>
      <c r="M23" s="32">
        <v>175744</v>
      </c>
      <c r="N23" s="32">
        <v>175744</v>
      </c>
      <c r="O23" s="32">
        <v>175744</v>
      </c>
      <c r="P23" s="32">
        <v>175744</v>
      </c>
      <c r="Q23" s="32">
        <v>175840</v>
      </c>
      <c r="R23" s="32">
        <v>175840</v>
      </c>
      <c r="S23" s="32">
        <v>176000</v>
      </c>
      <c r="T23" s="32">
        <v>207809</v>
      </c>
      <c r="U23" s="32">
        <v>207809</v>
      </c>
      <c r="V23" s="32">
        <v>216779</v>
      </c>
      <c r="W23" s="32">
        <v>216779</v>
      </c>
      <c r="X23" s="32">
        <v>216779</v>
      </c>
      <c r="Y23" s="32">
        <v>216779</v>
      </c>
      <c r="Z23" s="35">
        <f t="shared" si="0"/>
        <v>184704.95652173914</v>
      </c>
    </row>
    <row r="24" spans="1:26" ht="18.75" customHeight="1">
      <c r="A24" s="73" t="s">
        <v>13</v>
      </c>
      <c r="B24" s="31" t="s">
        <v>15</v>
      </c>
      <c r="C24" s="32">
        <v>5844.5</v>
      </c>
      <c r="D24" s="32">
        <v>5844.5</v>
      </c>
      <c r="E24" s="32">
        <v>1325</v>
      </c>
      <c r="F24" s="32">
        <v>1325</v>
      </c>
      <c r="G24" s="32">
        <v>1325</v>
      </c>
      <c r="H24" s="32">
        <v>1325</v>
      </c>
      <c r="I24" s="32">
        <v>4192</v>
      </c>
      <c r="J24" s="32">
        <v>4192</v>
      </c>
      <c r="K24" s="32">
        <v>0</v>
      </c>
      <c r="L24" s="32">
        <v>0</v>
      </c>
      <c r="M24" s="32">
        <v>0</v>
      </c>
      <c r="N24" s="32">
        <v>632</v>
      </c>
      <c r="O24" s="32">
        <v>1186.5</v>
      </c>
      <c r="P24" s="32">
        <v>1186.5</v>
      </c>
      <c r="Q24" s="32">
        <v>1713</v>
      </c>
      <c r="R24" s="32">
        <v>1713</v>
      </c>
      <c r="S24" s="32">
        <v>1713</v>
      </c>
      <c r="T24" s="32">
        <v>3351.5</v>
      </c>
      <c r="U24" s="32">
        <v>3351.5</v>
      </c>
      <c r="V24" s="32">
        <v>3351.5</v>
      </c>
      <c r="W24" s="32">
        <v>3351.5</v>
      </c>
      <c r="X24" s="32">
        <v>3351.5</v>
      </c>
      <c r="Y24" s="32">
        <v>3958.5</v>
      </c>
      <c r="Z24" s="35">
        <f t="shared" si="0"/>
        <v>2357.9565217391305</v>
      </c>
    </row>
    <row r="25" spans="1:26" ht="18.75" customHeight="1">
      <c r="A25" s="74"/>
      <c r="B25" s="31" t="s">
        <v>16</v>
      </c>
      <c r="C25" s="32">
        <v>16275</v>
      </c>
      <c r="D25" s="32">
        <v>16275</v>
      </c>
      <c r="E25" s="32">
        <v>16275</v>
      </c>
      <c r="F25" s="32">
        <v>16275</v>
      </c>
      <c r="G25" s="32">
        <v>16275</v>
      </c>
      <c r="H25" s="32">
        <v>16275</v>
      </c>
      <c r="I25" s="32">
        <v>16275</v>
      </c>
      <c r="J25" s="32">
        <v>16275</v>
      </c>
      <c r="K25" s="32">
        <v>16275</v>
      </c>
      <c r="L25" s="32">
        <v>16275</v>
      </c>
      <c r="M25" s="32">
        <v>16275</v>
      </c>
      <c r="N25" s="32">
        <v>16275</v>
      </c>
      <c r="O25" s="32">
        <v>19627</v>
      </c>
      <c r="P25" s="32">
        <v>19627</v>
      </c>
      <c r="Q25" s="32">
        <v>19627</v>
      </c>
      <c r="R25" s="32">
        <v>19627</v>
      </c>
      <c r="S25" s="32">
        <v>19627</v>
      </c>
      <c r="T25" s="32">
        <v>19627</v>
      </c>
      <c r="U25" s="32">
        <v>19627</v>
      </c>
      <c r="V25" s="32">
        <v>19627</v>
      </c>
      <c r="W25" s="32">
        <v>19627</v>
      </c>
      <c r="X25" s="32">
        <v>19627</v>
      </c>
      <c r="Y25" s="32">
        <v>19627</v>
      </c>
      <c r="Z25" s="35">
        <f t="shared" si="0"/>
        <v>17878.130434782608</v>
      </c>
    </row>
    <row r="27" spans="1:26">
      <c r="A27" s="28"/>
    </row>
    <row r="28" spans="1:26">
      <c r="A28" s="33"/>
    </row>
  </sheetData>
  <mergeCells count="4">
    <mergeCell ref="A3:B3"/>
    <mergeCell ref="A5:A11"/>
    <mergeCell ref="A12:A23"/>
    <mergeCell ref="A24:A25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9A6F-50B1-4AFA-89C0-C0435F42DBBD}">
  <sheetPr>
    <tabColor rgb="FFFAB6E3"/>
  </sheetPr>
  <dimension ref="A1:AA71"/>
  <sheetViews>
    <sheetView topLeftCell="A19" workbookViewId="0">
      <selection activeCell="N29" sqref="N29"/>
    </sheetView>
  </sheetViews>
  <sheetFormatPr defaultColWidth="9" defaultRowHeight="15"/>
  <cols>
    <col min="1" max="1" width="14.28515625" style="2" customWidth="1"/>
    <col min="2" max="4" width="13.85546875" style="2" customWidth="1"/>
    <col min="5" max="5" width="15.42578125" style="2" customWidth="1"/>
    <col min="6" max="6" width="14.85546875" style="2" customWidth="1"/>
    <col min="7" max="8" width="12.42578125" style="1" customWidth="1"/>
    <col min="9" max="9" width="11.42578125" style="1" customWidth="1"/>
    <col min="10" max="10" width="9.7109375" style="1" bestFit="1" customWidth="1"/>
    <col min="11" max="19" width="9" style="1"/>
    <col min="20" max="257" width="9" style="2"/>
    <col min="258" max="261" width="15.42578125" style="2" customWidth="1"/>
    <col min="262" max="262" width="14" style="2" customWidth="1"/>
    <col min="263" max="263" width="12.42578125" style="2" customWidth="1"/>
    <col min="264" max="264" width="12.28515625" style="2" customWidth="1"/>
    <col min="265" max="265" width="12.140625" style="2" customWidth="1"/>
    <col min="266" max="513" width="9" style="2"/>
    <col min="514" max="517" width="15.42578125" style="2" customWidth="1"/>
    <col min="518" max="518" width="14" style="2" customWidth="1"/>
    <col min="519" max="519" width="12.42578125" style="2" customWidth="1"/>
    <col min="520" max="520" width="12.28515625" style="2" customWidth="1"/>
    <col min="521" max="521" width="12.140625" style="2" customWidth="1"/>
    <col min="522" max="769" width="9" style="2"/>
    <col min="770" max="773" width="15.42578125" style="2" customWidth="1"/>
    <col min="774" max="774" width="14" style="2" customWidth="1"/>
    <col min="775" max="775" width="12.42578125" style="2" customWidth="1"/>
    <col min="776" max="776" width="12.28515625" style="2" customWidth="1"/>
    <col min="777" max="777" width="12.140625" style="2" customWidth="1"/>
    <col min="778" max="1025" width="9" style="2"/>
    <col min="1026" max="1029" width="15.42578125" style="2" customWidth="1"/>
    <col min="1030" max="1030" width="14" style="2" customWidth="1"/>
    <col min="1031" max="1031" width="12.42578125" style="2" customWidth="1"/>
    <col min="1032" max="1032" width="12.28515625" style="2" customWidth="1"/>
    <col min="1033" max="1033" width="12.140625" style="2" customWidth="1"/>
    <col min="1034" max="1281" width="9" style="2"/>
    <col min="1282" max="1285" width="15.42578125" style="2" customWidth="1"/>
    <col min="1286" max="1286" width="14" style="2" customWidth="1"/>
    <col min="1287" max="1287" width="12.42578125" style="2" customWidth="1"/>
    <col min="1288" max="1288" width="12.28515625" style="2" customWidth="1"/>
    <col min="1289" max="1289" width="12.140625" style="2" customWidth="1"/>
    <col min="1290" max="1537" width="9" style="2"/>
    <col min="1538" max="1541" width="15.42578125" style="2" customWidth="1"/>
    <col min="1542" max="1542" width="14" style="2" customWidth="1"/>
    <col min="1543" max="1543" width="12.42578125" style="2" customWidth="1"/>
    <col min="1544" max="1544" width="12.28515625" style="2" customWidth="1"/>
    <col min="1545" max="1545" width="12.140625" style="2" customWidth="1"/>
    <col min="1546" max="1793" width="9" style="2"/>
    <col min="1794" max="1797" width="15.42578125" style="2" customWidth="1"/>
    <col min="1798" max="1798" width="14" style="2" customWidth="1"/>
    <col min="1799" max="1799" width="12.42578125" style="2" customWidth="1"/>
    <col min="1800" max="1800" width="12.28515625" style="2" customWidth="1"/>
    <col min="1801" max="1801" width="12.140625" style="2" customWidth="1"/>
    <col min="1802" max="2049" width="9" style="2"/>
    <col min="2050" max="2053" width="15.42578125" style="2" customWidth="1"/>
    <col min="2054" max="2054" width="14" style="2" customWidth="1"/>
    <col min="2055" max="2055" width="12.42578125" style="2" customWidth="1"/>
    <col min="2056" max="2056" width="12.28515625" style="2" customWidth="1"/>
    <col min="2057" max="2057" width="12.140625" style="2" customWidth="1"/>
    <col min="2058" max="2305" width="9" style="2"/>
    <col min="2306" max="2309" width="15.42578125" style="2" customWidth="1"/>
    <col min="2310" max="2310" width="14" style="2" customWidth="1"/>
    <col min="2311" max="2311" width="12.42578125" style="2" customWidth="1"/>
    <col min="2312" max="2312" width="12.28515625" style="2" customWidth="1"/>
    <col min="2313" max="2313" width="12.140625" style="2" customWidth="1"/>
    <col min="2314" max="2561" width="9" style="2"/>
    <col min="2562" max="2565" width="15.42578125" style="2" customWidth="1"/>
    <col min="2566" max="2566" width="14" style="2" customWidth="1"/>
    <col min="2567" max="2567" width="12.42578125" style="2" customWidth="1"/>
    <col min="2568" max="2568" width="12.28515625" style="2" customWidth="1"/>
    <col min="2569" max="2569" width="12.140625" style="2" customWidth="1"/>
    <col min="2570" max="2817" width="9" style="2"/>
    <col min="2818" max="2821" width="15.42578125" style="2" customWidth="1"/>
    <col min="2822" max="2822" width="14" style="2" customWidth="1"/>
    <col min="2823" max="2823" width="12.42578125" style="2" customWidth="1"/>
    <col min="2824" max="2824" width="12.28515625" style="2" customWidth="1"/>
    <col min="2825" max="2825" width="12.140625" style="2" customWidth="1"/>
    <col min="2826" max="3073" width="9" style="2"/>
    <col min="3074" max="3077" width="15.42578125" style="2" customWidth="1"/>
    <col min="3078" max="3078" width="14" style="2" customWidth="1"/>
    <col min="3079" max="3079" width="12.42578125" style="2" customWidth="1"/>
    <col min="3080" max="3080" width="12.28515625" style="2" customWidth="1"/>
    <col min="3081" max="3081" width="12.140625" style="2" customWidth="1"/>
    <col min="3082" max="3329" width="9" style="2"/>
    <col min="3330" max="3333" width="15.42578125" style="2" customWidth="1"/>
    <col min="3334" max="3334" width="14" style="2" customWidth="1"/>
    <col min="3335" max="3335" width="12.42578125" style="2" customWidth="1"/>
    <col min="3336" max="3336" width="12.28515625" style="2" customWidth="1"/>
    <col min="3337" max="3337" width="12.140625" style="2" customWidth="1"/>
    <col min="3338" max="3585" width="9" style="2"/>
    <col min="3586" max="3589" width="15.42578125" style="2" customWidth="1"/>
    <col min="3590" max="3590" width="14" style="2" customWidth="1"/>
    <col min="3591" max="3591" width="12.42578125" style="2" customWidth="1"/>
    <col min="3592" max="3592" width="12.28515625" style="2" customWidth="1"/>
    <col min="3593" max="3593" width="12.140625" style="2" customWidth="1"/>
    <col min="3594" max="3841" width="9" style="2"/>
    <col min="3842" max="3845" width="15.42578125" style="2" customWidth="1"/>
    <col min="3846" max="3846" width="14" style="2" customWidth="1"/>
    <col min="3847" max="3847" width="12.42578125" style="2" customWidth="1"/>
    <col min="3848" max="3848" width="12.28515625" style="2" customWidth="1"/>
    <col min="3849" max="3849" width="12.140625" style="2" customWidth="1"/>
    <col min="3850" max="4097" width="9" style="2"/>
    <col min="4098" max="4101" width="15.42578125" style="2" customWidth="1"/>
    <col min="4102" max="4102" width="14" style="2" customWidth="1"/>
    <col min="4103" max="4103" width="12.42578125" style="2" customWidth="1"/>
    <col min="4104" max="4104" width="12.28515625" style="2" customWidth="1"/>
    <col min="4105" max="4105" width="12.140625" style="2" customWidth="1"/>
    <col min="4106" max="4353" width="9" style="2"/>
    <col min="4354" max="4357" width="15.42578125" style="2" customWidth="1"/>
    <col min="4358" max="4358" width="14" style="2" customWidth="1"/>
    <col min="4359" max="4359" width="12.42578125" style="2" customWidth="1"/>
    <col min="4360" max="4360" width="12.28515625" style="2" customWidth="1"/>
    <col min="4361" max="4361" width="12.140625" style="2" customWidth="1"/>
    <col min="4362" max="4609" width="9" style="2"/>
    <col min="4610" max="4613" width="15.42578125" style="2" customWidth="1"/>
    <col min="4614" max="4614" width="14" style="2" customWidth="1"/>
    <col min="4615" max="4615" width="12.42578125" style="2" customWidth="1"/>
    <col min="4616" max="4616" width="12.28515625" style="2" customWidth="1"/>
    <col min="4617" max="4617" width="12.140625" style="2" customWidth="1"/>
    <col min="4618" max="4865" width="9" style="2"/>
    <col min="4866" max="4869" width="15.42578125" style="2" customWidth="1"/>
    <col min="4870" max="4870" width="14" style="2" customWidth="1"/>
    <col min="4871" max="4871" width="12.42578125" style="2" customWidth="1"/>
    <col min="4872" max="4872" width="12.28515625" style="2" customWidth="1"/>
    <col min="4873" max="4873" width="12.140625" style="2" customWidth="1"/>
    <col min="4874" max="5121" width="9" style="2"/>
    <col min="5122" max="5125" width="15.42578125" style="2" customWidth="1"/>
    <col min="5126" max="5126" width="14" style="2" customWidth="1"/>
    <col min="5127" max="5127" width="12.42578125" style="2" customWidth="1"/>
    <col min="5128" max="5128" width="12.28515625" style="2" customWidth="1"/>
    <col min="5129" max="5129" width="12.140625" style="2" customWidth="1"/>
    <col min="5130" max="5377" width="9" style="2"/>
    <col min="5378" max="5381" width="15.42578125" style="2" customWidth="1"/>
    <col min="5382" max="5382" width="14" style="2" customWidth="1"/>
    <col min="5383" max="5383" width="12.42578125" style="2" customWidth="1"/>
    <col min="5384" max="5384" width="12.28515625" style="2" customWidth="1"/>
    <col min="5385" max="5385" width="12.140625" style="2" customWidth="1"/>
    <col min="5386" max="5633" width="9" style="2"/>
    <col min="5634" max="5637" width="15.42578125" style="2" customWidth="1"/>
    <col min="5638" max="5638" width="14" style="2" customWidth="1"/>
    <col min="5639" max="5639" width="12.42578125" style="2" customWidth="1"/>
    <col min="5640" max="5640" width="12.28515625" style="2" customWidth="1"/>
    <col min="5641" max="5641" width="12.140625" style="2" customWidth="1"/>
    <col min="5642" max="5889" width="9" style="2"/>
    <col min="5890" max="5893" width="15.42578125" style="2" customWidth="1"/>
    <col min="5894" max="5894" width="14" style="2" customWidth="1"/>
    <col min="5895" max="5895" width="12.42578125" style="2" customWidth="1"/>
    <col min="5896" max="5896" width="12.28515625" style="2" customWidth="1"/>
    <col min="5897" max="5897" width="12.140625" style="2" customWidth="1"/>
    <col min="5898" max="6145" width="9" style="2"/>
    <col min="6146" max="6149" width="15.42578125" style="2" customWidth="1"/>
    <col min="6150" max="6150" width="14" style="2" customWidth="1"/>
    <col min="6151" max="6151" width="12.42578125" style="2" customWidth="1"/>
    <col min="6152" max="6152" width="12.28515625" style="2" customWidth="1"/>
    <col min="6153" max="6153" width="12.140625" style="2" customWidth="1"/>
    <col min="6154" max="6401" width="9" style="2"/>
    <col min="6402" max="6405" width="15.42578125" style="2" customWidth="1"/>
    <col min="6406" max="6406" width="14" style="2" customWidth="1"/>
    <col min="6407" max="6407" width="12.42578125" style="2" customWidth="1"/>
    <col min="6408" max="6408" width="12.28515625" style="2" customWidth="1"/>
    <col min="6409" max="6409" width="12.140625" style="2" customWidth="1"/>
    <col min="6410" max="6657" width="9" style="2"/>
    <col min="6658" max="6661" width="15.42578125" style="2" customWidth="1"/>
    <col min="6662" max="6662" width="14" style="2" customWidth="1"/>
    <col min="6663" max="6663" width="12.42578125" style="2" customWidth="1"/>
    <col min="6664" max="6664" width="12.28515625" style="2" customWidth="1"/>
    <col min="6665" max="6665" width="12.140625" style="2" customWidth="1"/>
    <col min="6666" max="6913" width="9" style="2"/>
    <col min="6914" max="6917" width="15.42578125" style="2" customWidth="1"/>
    <col min="6918" max="6918" width="14" style="2" customWidth="1"/>
    <col min="6919" max="6919" width="12.42578125" style="2" customWidth="1"/>
    <col min="6920" max="6920" width="12.28515625" style="2" customWidth="1"/>
    <col min="6921" max="6921" width="12.140625" style="2" customWidth="1"/>
    <col min="6922" max="7169" width="9" style="2"/>
    <col min="7170" max="7173" width="15.42578125" style="2" customWidth="1"/>
    <col min="7174" max="7174" width="14" style="2" customWidth="1"/>
    <col min="7175" max="7175" width="12.42578125" style="2" customWidth="1"/>
    <col min="7176" max="7176" width="12.28515625" style="2" customWidth="1"/>
    <col min="7177" max="7177" width="12.140625" style="2" customWidth="1"/>
    <col min="7178" max="7425" width="9" style="2"/>
    <col min="7426" max="7429" width="15.42578125" style="2" customWidth="1"/>
    <col min="7430" max="7430" width="14" style="2" customWidth="1"/>
    <col min="7431" max="7431" width="12.42578125" style="2" customWidth="1"/>
    <col min="7432" max="7432" width="12.28515625" style="2" customWidth="1"/>
    <col min="7433" max="7433" width="12.140625" style="2" customWidth="1"/>
    <col min="7434" max="7681" width="9" style="2"/>
    <col min="7682" max="7685" width="15.42578125" style="2" customWidth="1"/>
    <col min="7686" max="7686" width="14" style="2" customWidth="1"/>
    <col min="7687" max="7687" width="12.42578125" style="2" customWidth="1"/>
    <col min="7688" max="7688" width="12.28515625" style="2" customWidth="1"/>
    <col min="7689" max="7689" width="12.140625" style="2" customWidth="1"/>
    <col min="7690" max="7937" width="9" style="2"/>
    <col min="7938" max="7941" width="15.42578125" style="2" customWidth="1"/>
    <col min="7942" max="7942" width="14" style="2" customWidth="1"/>
    <col min="7943" max="7943" width="12.42578125" style="2" customWidth="1"/>
    <col min="7944" max="7944" width="12.28515625" style="2" customWidth="1"/>
    <col min="7945" max="7945" width="12.140625" style="2" customWidth="1"/>
    <col min="7946" max="8193" width="9" style="2"/>
    <col min="8194" max="8197" width="15.42578125" style="2" customWidth="1"/>
    <col min="8198" max="8198" width="14" style="2" customWidth="1"/>
    <col min="8199" max="8199" width="12.42578125" style="2" customWidth="1"/>
    <col min="8200" max="8200" width="12.28515625" style="2" customWidth="1"/>
    <col min="8201" max="8201" width="12.140625" style="2" customWidth="1"/>
    <col min="8202" max="8449" width="9" style="2"/>
    <col min="8450" max="8453" width="15.42578125" style="2" customWidth="1"/>
    <col min="8454" max="8454" width="14" style="2" customWidth="1"/>
    <col min="8455" max="8455" width="12.42578125" style="2" customWidth="1"/>
    <col min="8456" max="8456" width="12.28515625" style="2" customWidth="1"/>
    <col min="8457" max="8457" width="12.140625" style="2" customWidth="1"/>
    <col min="8458" max="8705" width="9" style="2"/>
    <col min="8706" max="8709" width="15.42578125" style="2" customWidth="1"/>
    <col min="8710" max="8710" width="14" style="2" customWidth="1"/>
    <col min="8711" max="8711" width="12.42578125" style="2" customWidth="1"/>
    <col min="8712" max="8712" width="12.28515625" style="2" customWidth="1"/>
    <col min="8713" max="8713" width="12.140625" style="2" customWidth="1"/>
    <col min="8714" max="8961" width="9" style="2"/>
    <col min="8962" max="8965" width="15.42578125" style="2" customWidth="1"/>
    <col min="8966" max="8966" width="14" style="2" customWidth="1"/>
    <col min="8967" max="8967" width="12.42578125" style="2" customWidth="1"/>
    <col min="8968" max="8968" width="12.28515625" style="2" customWidth="1"/>
    <col min="8969" max="8969" width="12.140625" style="2" customWidth="1"/>
    <col min="8970" max="9217" width="9" style="2"/>
    <col min="9218" max="9221" width="15.42578125" style="2" customWidth="1"/>
    <col min="9222" max="9222" width="14" style="2" customWidth="1"/>
    <col min="9223" max="9223" width="12.42578125" style="2" customWidth="1"/>
    <col min="9224" max="9224" width="12.28515625" style="2" customWidth="1"/>
    <col min="9225" max="9225" width="12.140625" style="2" customWidth="1"/>
    <col min="9226" max="9473" width="9" style="2"/>
    <col min="9474" max="9477" width="15.42578125" style="2" customWidth="1"/>
    <col min="9478" max="9478" width="14" style="2" customWidth="1"/>
    <col min="9479" max="9479" width="12.42578125" style="2" customWidth="1"/>
    <col min="9480" max="9480" width="12.28515625" style="2" customWidth="1"/>
    <col min="9481" max="9481" width="12.140625" style="2" customWidth="1"/>
    <col min="9482" max="9729" width="9" style="2"/>
    <col min="9730" max="9733" width="15.42578125" style="2" customWidth="1"/>
    <col min="9734" max="9734" width="14" style="2" customWidth="1"/>
    <col min="9735" max="9735" width="12.42578125" style="2" customWidth="1"/>
    <col min="9736" max="9736" width="12.28515625" style="2" customWidth="1"/>
    <col min="9737" max="9737" width="12.140625" style="2" customWidth="1"/>
    <col min="9738" max="9985" width="9" style="2"/>
    <col min="9986" max="9989" width="15.42578125" style="2" customWidth="1"/>
    <col min="9990" max="9990" width="14" style="2" customWidth="1"/>
    <col min="9991" max="9991" width="12.42578125" style="2" customWidth="1"/>
    <col min="9992" max="9992" width="12.28515625" style="2" customWidth="1"/>
    <col min="9993" max="9993" width="12.140625" style="2" customWidth="1"/>
    <col min="9994" max="10241" width="9" style="2"/>
    <col min="10242" max="10245" width="15.42578125" style="2" customWidth="1"/>
    <col min="10246" max="10246" width="14" style="2" customWidth="1"/>
    <col min="10247" max="10247" width="12.42578125" style="2" customWidth="1"/>
    <col min="10248" max="10248" width="12.28515625" style="2" customWidth="1"/>
    <col min="10249" max="10249" width="12.140625" style="2" customWidth="1"/>
    <col min="10250" max="10497" width="9" style="2"/>
    <col min="10498" max="10501" width="15.42578125" style="2" customWidth="1"/>
    <col min="10502" max="10502" width="14" style="2" customWidth="1"/>
    <col min="10503" max="10503" width="12.42578125" style="2" customWidth="1"/>
    <col min="10504" max="10504" width="12.28515625" style="2" customWidth="1"/>
    <col min="10505" max="10505" width="12.140625" style="2" customWidth="1"/>
    <col min="10506" max="10753" width="9" style="2"/>
    <col min="10754" max="10757" width="15.42578125" style="2" customWidth="1"/>
    <col min="10758" max="10758" width="14" style="2" customWidth="1"/>
    <col min="10759" max="10759" width="12.42578125" style="2" customWidth="1"/>
    <col min="10760" max="10760" width="12.28515625" style="2" customWidth="1"/>
    <col min="10761" max="10761" width="12.140625" style="2" customWidth="1"/>
    <col min="10762" max="11009" width="9" style="2"/>
    <col min="11010" max="11013" width="15.42578125" style="2" customWidth="1"/>
    <col min="11014" max="11014" width="14" style="2" customWidth="1"/>
    <col min="11015" max="11015" width="12.42578125" style="2" customWidth="1"/>
    <col min="11016" max="11016" width="12.28515625" style="2" customWidth="1"/>
    <col min="11017" max="11017" width="12.140625" style="2" customWidth="1"/>
    <col min="11018" max="11265" width="9" style="2"/>
    <col min="11266" max="11269" width="15.42578125" style="2" customWidth="1"/>
    <col min="11270" max="11270" width="14" style="2" customWidth="1"/>
    <col min="11271" max="11271" width="12.42578125" style="2" customWidth="1"/>
    <col min="11272" max="11272" width="12.28515625" style="2" customWidth="1"/>
    <col min="11273" max="11273" width="12.140625" style="2" customWidth="1"/>
    <col min="11274" max="11521" width="9" style="2"/>
    <col min="11522" max="11525" width="15.42578125" style="2" customWidth="1"/>
    <col min="11526" max="11526" width="14" style="2" customWidth="1"/>
    <col min="11527" max="11527" width="12.42578125" style="2" customWidth="1"/>
    <col min="11528" max="11528" width="12.28515625" style="2" customWidth="1"/>
    <col min="11529" max="11529" width="12.140625" style="2" customWidth="1"/>
    <col min="11530" max="11777" width="9" style="2"/>
    <col min="11778" max="11781" width="15.42578125" style="2" customWidth="1"/>
    <col min="11782" max="11782" width="14" style="2" customWidth="1"/>
    <col min="11783" max="11783" width="12.42578125" style="2" customWidth="1"/>
    <col min="11784" max="11784" width="12.28515625" style="2" customWidth="1"/>
    <col min="11785" max="11785" width="12.140625" style="2" customWidth="1"/>
    <col min="11786" max="12033" width="9" style="2"/>
    <col min="12034" max="12037" width="15.42578125" style="2" customWidth="1"/>
    <col min="12038" max="12038" width="14" style="2" customWidth="1"/>
    <col min="12039" max="12039" width="12.42578125" style="2" customWidth="1"/>
    <col min="12040" max="12040" width="12.28515625" style="2" customWidth="1"/>
    <col min="12041" max="12041" width="12.140625" style="2" customWidth="1"/>
    <col min="12042" max="12289" width="9" style="2"/>
    <col min="12290" max="12293" width="15.42578125" style="2" customWidth="1"/>
    <col min="12294" max="12294" width="14" style="2" customWidth="1"/>
    <col min="12295" max="12295" width="12.42578125" style="2" customWidth="1"/>
    <col min="12296" max="12296" width="12.28515625" style="2" customWidth="1"/>
    <col min="12297" max="12297" width="12.140625" style="2" customWidth="1"/>
    <col min="12298" max="12545" width="9" style="2"/>
    <col min="12546" max="12549" width="15.42578125" style="2" customWidth="1"/>
    <col min="12550" max="12550" width="14" style="2" customWidth="1"/>
    <col min="12551" max="12551" width="12.42578125" style="2" customWidth="1"/>
    <col min="12552" max="12552" width="12.28515625" style="2" customWidth="1"/>
    <col min="12553" max="12553" width="12.140625" style="2" customWidth="1"/>
    <col min="12554" max="12801" width="9" style="2"/>
    <col min="12802" max="12805" width="15.42578125" style="2" customWidth="1"/>
    <col min="12806" max="12806" width="14" style="2" customWidth="1"/>
    <col min="12807" max="12807" width="12.42578125" style="2" customWidth="1"/>
    <col min="12808" max="12808" width="12.28515625" style="2" customWidth="1"/>
    <col min="12809" max="12809" width="12.140625" style="2" customWidth="1"/>
    <col min="12810" max="13057" width="9" style="2"/>
    <col min="13058" max="13061" width="15.42578125" style="2" customWidth="1"/>
    <col min="13062" max="13062" width="14" style="2" customWidth="1"/>
    <col min="13063" max="13063" width="12.42578125" style="2" customWidth="1"/>
    <col min="13064" max="13064" width="12.28515625" style="2" customWidth="1"/>
    <col min="13065" max="13065" width="12.140625" style="2" customWidth="1"/>
    <col min="13066" max="13313" width="9" style="2"/>
    <col min="13314" max="13317" width="15.42578125" style="2" customWidth="1"/>
    <col min="13318" max="13318" width="14" style="2" customWidth="1"/>
    <col min="13319" max="13319" width="12.42578125" style="2" customWidth="1"/>
    <col min="13320" max="13320" width="12.28515625" style="2" customWidth="1"/>
    <col min="13321" max="13321" width="12.140625" style="2" customWidth="1"/>
    <col min="13322" max="13569" width="9" style="2"/>
    <col min="13570" max="13573" width="15.42578125" style="2" customWidth="1"/>
    <col min="13574" max="13574" width="14" style="2" customWidth="1"/>
    <col min="13575" max="13575" width="12.42578125" style="2" customWidth="1"/>
    <col min="13576" max="13576" width="12.28515625" style="2" customWidth="1"/>
    <col min="13577" max="13577" width="12.140625" style="2" customWidth="1"/>
    <col min="13578" max="13825" width="9" style="2"/>
    <col min="13826" max="13829" width="15.42578125" style="2" customWidth="1"/>
    <col min="13830" max="13830" width="14" style="2" customWidth="1"/>
    <col min="13831" max="13831" width="12.42578125" style="2" customWidth="1"/>
    <col min="13832" max="13832" width="12.28515625" style="2" customWidth="1"/>
    <col min="13833" max="13833" width="12.140625" style="2" customWidth="1"/>
    <col min="13834" max="14081" width="9" style="2"/>
    <col min="14082" max="14085" width="15.42578125" style="2" customWidth="1"/>
    <col min="14086" max="14086" width="14" style="2" customWidth="1"/>
    <col min="14087" max="14087" width="12.42578125" style="2" customWidth="1"/>
    <col min="14088" max="14088" width="12.28515625" style="2" customWidth="1"/>
    <col min="14089" max="14089" width="12.140625" style="2" customWidth="1"/>
    <col min="14090" max="14337" width="9" style="2"/>
    <col min="14338" max="14341" width="15.42578125" style="2" customWidth="1"/>
    <col min="14342" max="14342" width="14" style="2" customWidth="1"/>
    <col min="14343" max="14343" width="12.42578125" style="2" customWidth="1"/>
    <col min="14344" max="14344" width="12.28515625" style="2" customWidth="1"/>
    <col min="14345" max="14345" width="12.140625" style="2" customWidth="1"/>
    <col min="14346" max="14593" width="9" style="2"/>
    <col min="14594" max="14597" width="15.42578125" style="2" customWidth="1"/>
    <col min="14598" max="14598" width="14" style="2" customWidth="1"/>
    <col min="14599" max="14599" width="12.42578125" style="2" customWidth="1"/>
    <col min="14600" max="14600" width="12.28515625" style="2" customWidth="1"/>
    <col min="14601" max="14601" width="12.140625" style="2" customWidth="1"/>
    <col min="14602" max="14849" width="9" style="2"/>
    <col min="14850" max="14853" width="15.42578125" style="2" customWidth="1"/>
    <col min="14854" max="14854" width="14" style="2" customWidth="1"/>
    <col min="14855" max="14855" width="12.42578125" style="2" customWidth="1"/>
    <col min="14856" max="14856" width="12.28515625" style="2" customWidth="1"/>
    <col min="14857" max="14857" width="12.140625" style="2" customWidth="1"/>
    <col min="14858" max="15105" width="9" style="2"/>
    <col min="15106" max="15109" width="15.42578125" style="2" customWidth="1"/>
    <col min="15110" max="15110" width="14" style="2" customWidth="1"/>
    <col min="15111" max="15111" width="12.42578125" style="2" customWidth="1"/>
    <col min="15112" max="15112" width="12.28515625" style="2" customWidth="1"/>
    <col min="15113" max="15113" width="12.140625" style="2" customWidth="1"/>
    <col min="15114" max="15361" width="9" style="2"/>
    <col min="15362" max="15365" width="15.42578125" style="2" customWidth="1"/>
    <col min="15366" max="15366" width="14" style="2" customWidth="1"/>
    <col min="15367" max="15367" width="12.42578125" style="2" customWidth="1"/>
    <col min="15368" max="15368" width="12.28515625" style="2" customWidth="1"/>
    <col min="15369" max="15369" width="12.140625" style="2" customWidth="1"/>
    <col min="15370" max="15617" width="9" style="2"/>
    <col min="15618" max="15621" width="15.42578125" style="2" customWidth="1"/>
    <col min="15622" max="15622" width="14" style="2" customWidth="1"/>
    <col min="15623" max="15623" width="12.42578125" style="2" customWidth="1"/>
    <col min="15624" max="15624" width="12.28515625" style="2" customWidth="1"/>
    <col min="15625" max="15625" width="12.140625" style="2" customWidth="1"/>
    <col min="15626" max="15873" width="9" style="2"/>
    <col min="15874" max="15877" width="15.42578125" style="2" customWidth="1"/>
    <col min="15878" max="15878" width="14" style="2" customWidth="1"/>
    <col min="15879" max="15879" width="12.42578125" style="2" customWidth="1"/>
    <col min="15880" max="15880" width="12.28515625" style="2" customWidth="1"/>
    <col min="15881" max="15881" width="12.140625" style="2" customWidth="1"/>
    <col min="15882" max="16129" width="9" style="2"/>
    <col min="16130" max="16133" width="15.42578125" style="2" customWidth="1"/>
    <col min="16134" max="16134" width="14" style="2" customWidth="1"/>
    <col min="16135" max="16135" width="12.42578125" style="2" customWidth="1"/>
    <col min="16136" max="16136" width="12.28515625" style="2" customWidth="1"/>
    <col min="16137" max="16137" width="12.140625" style="2" customWidth="1"/>
    <col min="16138" max="16384" width="9" style="2"/>
  </cols>
  <sheetData>
    <row r="1" spans="1:7">
      <c r="A1" s="3" t="s">
        <v>42</v>
      </c>
    </row>
    <row r="2" spans="1:7">
      <c r="A2" s="59" t="s">
        <v>17</v>
      </c>
      <c r="B2" s="61" t="s">
        <v>0</v>
      </c>
      <c r="C2" s="62"/>
      <c r="D2" s="59" t="s">
        <v>31</v>
      </c>
      <c r="E2" s="59" t="s">
        <v>18</v>
      </c>
      <c r="F2" s="59" t="s">
        <v>19</v>
      </c>
    </row>
    <row r="3" spans="1:7" s="2" customFormat="1">
      <c r="A3" s="60"/>
      <c r="B3" s="4" t="s">
        <v>28</v>
      </c>
      <c r="C3" s="4" t="s">
        <v>30</v>
      </c>
      <c r="D3" s="60"/>
      <c r="E3" s="60"/>
      <c r="F3" s="60"/>
    </row>
    <row r="4" spans="1:7">
      <c r="A4" s="51">
        <v>2</v>
      </c>
      <c r="B4" s="5">
        <f>FEB!C5/1000</f>
        <v>3007.58</v>
      </c>
      <c r="C4" s="5">
        <f>(FEB!C10+FEB!C11)/1000</f>
        <v>811.99800000000005</v>
      </c>
      <c r="D4" s="5">
        <f t="shared" ref="D4:D26" si="0">B4+C4</f>
        <v>3819.578</v>
      </c>
      <c r="E4" s="6">
        <v>6760</v>
      </c>
      <c r="F4" s="7">
        <f>D4/E4</f>
        <v>0.56502633136094671</v>
      </c>
    </row>
    <row r="5" spans="1:7">
      <c r="A5" s="51">
        <v>3</v>
      </c>
      <c r="B5" s="5">
        <f>FEB!D5/1000</f>
        <v>2824.48</v>
      </c>
      <c r="C5" s="5">
        <f>(FEB!D10+FEB!D11)/1000</f>
        <v>566.70799999999997</v>
      </c>
      <c r="D5" s="5">
        <f t="shared" si="0"/>
        <v>3391.1880000000001</v>
      </c>
      <c r="E5" s="6">
        <v>6760</v>
      </c>
      <c r="F5" s="7">
        <f t="shared" ref="F5:F26" si="1">D5/E5</f>
        <v>0.50165502958579888</v>
      </c>
      <c r="G5" s="43"/>
    </row>
    <row r="6" spans="1:7">
      <c r="A6" s="51">
        <v>4</v>
      </c>
      <c r="B6" s="5">
        <f>FEB!E5/1000</f>
        <v>3004.3150000000001</v>
      </c>
      <c r="C6" s="5">
        <f>(FEB!E10+FEB!E11)/1000</f>
        <v>419.99799999999999</v>
      </c>
      <c r="D6" s="5">
        <f t="shared" si="0"/>
        <v>3424.3130000000001</v>
      </c>
      <c r="E6" s="6">
        <v>6760</v>
      </c>
      <c r="F6" s="7">
        <f t="shared" si="1"/>
        <v>0.50655517751479295</v>
      </c>
    </row>
    <row r="7" spans="1:7">
      <c r="A7" s="51">
        <v>5</v>
      </c>
      <c r="B7" s="5">
        <f>FEB!F5/1000</f>
        <v>2473.5650000000001</v>
      </c>
      <c r="C7" s="5">
        <f>(FEB!F10+FEB!F11)/1000</f>
        <v>486.92599999999999</v>
      </c>
      <c r="D7" s="5">
        <f t="shared" si="0"/>
        <v>2960.491</v>
      </c>
      <c r="E7" s="6">
        <v>6760</v>
      </c>
      <c r="F7" s="7">
        <f t="shared" si="1"/>
        <v>0.4379424556213018</v>
      </c>
    </row>
    <row r="8" spans="1:7">
      <c r="A8" s="51">
        <v>6</v>
      </c>
      <c r="B8" s="5">
        <f>FEB!G5/1000</f>
        <v>2927.5149999999999</v>
      </c>
      <c r="C8" s="5">
        <f>(FEB!G10+FEB!G11)/1000</f>
        <v>495.21800000000002</v>
      </c>
      <c r="D8" s="5">
        <f t="shared" si="0"/>
        <v>3422.7329999999997</v>
      </c>
      <c r="E8" s="6">
        <v>6760</v>
      </c>
      <c r="F8" s="7">
        <f t="shared" si="1"/>
        <v>0.50632144970414195</v>
      </c>
    </row>
    <row r="9" spans="1:7">
      <c r="A9" s="51">
        <v>7</v>
      </c>
      <c r="B9" s="5">
        <f>FEB!H5/1000</f>
        <v>2631.9549999999999</v>
      </c>
      <c r="C9" s="5">
        <f>(FEB!H10+FEB!H11)/1000</f>
        <v>480.27300000000002</v>
      </c>
      <c r="D9" s="5">
        <f t="shared" si="0"/>
        <v>3112.2280000000001</v>
      </c>
      <c r="E9" s="6">
        <v>6760</v>
      </c>
      <c r="F9" s="7">
        <f t="shared" si="1"/>
        <v>0.46038875739644969</v>
      </c>
    </row>
    <row r="10" spans="1:7">
      <c r="A10" s="51">
        <v>9</v>
      </c>
      <c r="B10" s="5">
        <f>FEB!I5/1000</f>
        <v>2448.1149999999998</v>
      </c>
      <c r="C10" s="5">
        <f>(FEB!I10+FEB!I11)/1000</f>
        <v>243.583</v>
      </c>
      <c r="D10" s="5">
        <f t="shared" si="0"/>
        <v>2691.6979999999999</v>
      </c>
      <c r="E10" s="6">
        <v>6760</v>
      </c>
      <c r="F10" s="7">
        <f t="shared" si="1"/>
        <v>0.3981801775147929</v>
      </c>
    </row>
    <row r="11" spans="1:7">
      <c r="A11" s="51">
        <v>10</v>
      </c>
      <c r="B11" s="5">
        <f>FEB!J5/1000</f>
        <v>2240.2849999999999</v>
      </c>
      <c r="C11" s="5">
        <f>(FEB!J10+FEB!J11)/1000</f>
        <v>461.952</v>
      </c>
      <c r="D11" s="5">
        <f t="shared" si="0"/>
        <v>2702.2370000000001</v>
      </c>
      <c r="E11" s="6">
        <v>6760</v>
      </c>
      <c r="F11" s="7">
        <f t="shared" si="1"/>
        <v>0.39973920118343198</v>
      </c>
    </row>
    <row r="12" spans="1:7">
      <c r="A12" s="51">
        <v>11</v>
      </c>
      <c r="B12" s="5">
        <f>FEB!K5/1000</f>
        <v>2318.8449999999998</v>
      </c>
      <c r="C12" s="5">
        <f>(FEB!K10+FEB!K11)/1000</f>
        <v>354.66</v>
      </c>
      <c r="D12" s="5">
        <f t="shared" si="0"/>
        <v>2673.5049999999997</v>
      </c>
      <c r="E12" s="6">
        <v>6760</v>
      </c>
      <c r="F12" s="7">
        <f t="shared" si="1"/>
        <v>0.39548890532544373</v>
      </c>
    </row>
    <row r="13" spans="1:7">
      <c r="A13" s="51">
        <v>12</v>
      </c>
      <c r="B13" s="5">
        <f>FEB!L5/1000</f>
        <v>2186.375</v>
      </c>
      <c r="C13" s="5">
        <f>(FEB!L10+FEB!L11)/1000</f>
        <v>454.45</v>
      </c>
      <c r="D13" s="5">
        <f t="shared" si="0"/>
        <v>2640.8249999999998</v>
      </c>
      <c r="E13" s="6">
        <v>6760</v>
      </c>
      <c r="F13" s="7">
        <f t="shared" si="1"/>
        <v>0.39065458579881657</v>
      </c>
    </row>
    <row r="14" spans="1:7">
      <c r="A14" s="51">
        <v>13</v>
      </c>
      <c r="B14" s="5">
        <f>FEB!M5/1000</f>
        <v>2320.7150000000001</v>
      </c>
      <c r="C14" s="5">
        <f>(FEB!M10+FEB!M11)/1000</f>
        <v>534.70299999999997</v>
      </c>
      <c r="D14" s="5">
        <f t="shared" si="0"/>
        <v>2855.4180000000001</v>
      </c>
      <c r="E14" s="6">
        <v>6760</v>
      </c>
      <c r="F14" s="7">
        <f t="shared" si="1"/>
        <v>0.42239911242603551</v>
      </c>
    </row>
    <row r="15" spans="1:7">
      <c r="A15" s="51">
        <v>14</v>
      </c>
      <c r="B15" s="5">
        <f>FEB!N5/1000</f>
        <v>1452.1949999999999</v>
      </c>
      <c r="C15" s="5">
        <f>(FEB!N10+FEB!N11)/1000</f>
        <v>396.85599999999999</v>
      </c>
      <c r="D15" s="5">
        <f t="shared" si="0"/>
        <v>1849.0509999999999</v>
      </c>
      <c r="E15" s="6">
        <v>6760</v>
      </c>
      <c r="F15" s="7">
        <f t="shared" si="1"/>
        <v>0.27352825443786982</v>
      </c>
    </row>
    <row r="16" spans="1:7">
      <c r="A16" s="51">
        <v>16</v>
      </c>
      <c r="B16" s="5">
        <f>FEB!O5/1000</f>
        <v>2066.1350000000002</v>
      </c>
      <c r="C16" s="5">
        <f>(FEB!O10+FEB!O11)/1000</f>
        <v>277.78300000000002</v>
      </c>
      <c r="D16" s="5">
        <f t="shared" si="0"/>
        <v>2343.9180000000001</v>
      </c>
      <c r="E16" s="6">
        <v>6760</v>
      </c>
      <c r="F16" s="7">
        <f t="shared" si="1"/>
        <v>0.34673343195266276</v>
      </c>
    </row>
    <row r="17" spans="1:11">
      <c r="A17" s="51">
        <v>18</v>
      </c>
      <c r="B17" s="5">
        <f>FEB!P5/1000</f>
        <v>2315.1750000000002</v>
      </c>
      <c r="C17" s="5">
        <f>(FEB!P10+FEB!P11)/1000</f>
        <v>277.78300000000002</v>
      </c>
      <c r="D17" s="5">
        <f t="shared" si="0"/>
        <v>2592.9580000000001</v>
      </c>
      <c r="E17" s="6">
        <v>6760</v>
      </c>
      <c r="F17" s="7">
        <f t="shared" si="1"/>
        <v>0.38357366863905329</v>
      </c>
    </row>
    <row r="18" spans="1:11">
      <c r="A18" s="51">
        <v>19</v>
      </c>
      <c r="B18" s="5">
        <f>FEB!Q5/1000</f>
        <v>2620.9349999999999</v>
      </c>
      <c r="C18" s="5">
        <f>(FEB!Q10+FEB!Q11)/1000</f>
        <v>277.78300000000002</v>
      </c>
      <c r="D18" s="5">
        <f t="shared" si="0"/>
        <v>2898.7179999999998</v>
      </c>
      <c r="E18" s="6">
        <v>6760</v>
      </c>
      <c r="F18" s="7">
        <f t="shared" si="1"/>
        <v>0.42880443786982247</v>
      </c>
    </row>
    <row r="19" spans="1:11" ht="15.75">
      <c r="A19" s="51">
        <v>20</v>
      </c>
      <c r="B19" s="5">
        <f>FEB!R5/1000</f>
        <v>2923.7550000000001</v>
      </c>
      <c r="C19" s="5">
        <f>(FEB!R10+FEB!R11)/1000</f>
        <v>567.053</v>
      </c>
      <c r="D19" s="5">
        <f t="shared" si="0"/>
        <v>3490.808</v>
      </c>
      <c r="E19" s="6">
        <v>6760</v>
      </c>
      <c r="F19" s="7">
        <f t="shared" si="1"/>
        <v>0.51639171597633138</v>
      </c>
      <c r="H19" s="8" t="s">
        <v>20</v>
      </c>
    </row>
    <row r="20" spans="1:11" ht="15.75">
      <c r="A20" s="51">
        <v>21</v>
      </c>
      <c r="B20" s="5">
        <f>FEB!S5/1000</f>
        <v>3971.7649999999999</v>
      </c>
      <c r="C20" s="5">
        <f>(FEB!S10+FEB!S11)/1000</f>
        <v>733.62300000000005</v>
      </c>
      <c r="D20" s="5">
        <f t="shared" si="0"/>
        <v>4705.3879999999999</v>
      </c>
      <c r="E20" s="6">
        <v>6760</v>
      </c>
      <c r="F20" s="7">
        <f t="shared" si="1"/>
        <v>0.69606331360946749</v>
      </c>
      <c r="H20" s="8" t="s">
        <v>24</v>
      </c>
      <c r="J20" s="39">
        <v>6760</v>
      </c>
      <c r="K20" s="41" t="s">
        <v>25</v>
      </c>
    </row>
    <row r="21" spans="1:11" ht="15.75">
      <c r="A21" s="51">
        <v>23</v>
      </c>
      <c r="B21" s="5">
        <f>FEB!T5/1000</f>
        <v>4582.915</v>
      </c>
      <c r="C21" s="5">
        <f>(FEB!T10+FEB!T11)/1000</f>
        <v>734.25800000000004</v>
      </c>
      <c r="D21" s="5">
        <f t="shared" si="0"/>
        <v>5317.1729999999998</v>
      </c>
      <c r="E21" s="6">
        <v>6760</v>
      </c>
      <c r="F21" s="7">
        <f t="shared" si="1"/>
        <v>0.78656405325443779</v>
      </c>
      <c r="H21" s="58" t="s">
        <v>48</v>
      </c>
      <c r="I21" s="58"/>
      <c r="J21" s="9">
        <v>3300</v>
      </c>
      <c r="K21" s="8" t="s">
        <v>25</v>
      </c>
    </row>
    <row r="22" spans="1:11" ht="15.75">
      <c r="A22" s="51">
        <v>24</v>
      </c>
      <c r="B22" s="5">
        <f>FEB!U5/1000</f>
        <v>4243.8850000000002</v>
      </c>
      <c r="C22" s="5">
        <f>(FEB!U10+FEB!U11)/1000</f>
        <v>848.72900000000004</v>
      </c>
      <c r="D22" s="5">
        <f t="shared" si="0"/>
        <v>5092.6140000000005</v>
      </c>
      <c r="E22" s="6">
        <v>6760</v>
      </c>
      <c r="F22" s="7">
        <f t="shared" si="1"/>
        <v>0.75334526627218945</v>
      </c>
      <c r="H22" s="8" t="s">
        <v>26</v>
      </c>
      <c r="J22" s="40">
        <f>J21/J20</f>
        <v>0.48816568047337278</v>
      </c>
      <c r="K22" s="8" t="s">
        <v>25</v>
      </c>
    </row>
    <row r="23" spans="1:11" s="1" customFormat="1">
      <c r="A23" s="51">
        <v>25</v>
      </c>
      <c r="B23" s="5">
        <f>FEB!V5/1000</f>
        <v>4002.7849999999999</v>
      </c>
      <c r="C23" s="5">
        <f>(FEB!V10+FEB!V11)/1000</f>
        <v>440.25900000000001</v>
      </c>
      <c r="D23" s="5">
        <f t="shared" si="0"/>
        <v>4443.0439999999999</v>
      </c>
      <c r="E23" s="6">
        <v>6760</v>
      </c>
      <c r="F23" s="7">
        <f t="shared" si="1"/>
        <v>0.65725502958579884</v>
      </c>
      <c r="H23" s="41" t="s">
        <v>27</v>
      </c>
      <c r="I23" s="41"/>
      <c r="J23" s="42">
        <f>100%-J22</f>
        <v>0.51183431952662728</v>
      </c>
      <c r="K23" s="41" t="s">
        <v>25</v>
      </c>
    </row>
    <row r="24" spans="1:11" s="1" customFormat="1">
      <c r="A24" s="51">
        <v>26</v>
      </c>
      <c r="B24" s="5">
        <f>FEB!W5/1000</f>
        <v>3688.9050000000002</v>
      </c>
      <c r="C24" s="5">
        <f>(FEB!W10+FEB!W11)/1000</f>
        <v>454.99299999999999</v>
      </c>
      <c r="D24" s="5">
        <f t="shared" si="0"/>
        <v>4143.8980000000001</v>
      </c>
      <c r="E24" s="6">
        <v>6760</v>
      </c>
      <c r="F24" s="7">
        <f t="shared" si="1"/>
        <v>0.61300266272189352</v>
      </c>
    </row>
    <row r="25" spans="1:11" s="1" customFormat="1">
      <c r="A25" s="51">
        <v>27</v>
      </c>
      <c r="B25" s="5">
        <f>FEB!X5/1000</f>
        <v>3903.9650000000001</v>
      </c>
      <c r="C25" s="5">
        <f>(FEB!X10+FEB!X11)/1000</f>
        <v>486.35599999999999</v>
      </c>
      <c r="D25" s="5">
        <f t="shared" si="0"/>
        <v>4390.3209999999999</v>
      </c>
      <c r="E25" s="6">
        <v>6760</v>
      </c>
      <c r="F25" s="7">
        <f t="shared" si="1"/>
        <v>0.6494557692307692</v>
      </c>
    </row>
    <row r="26" spans="1:11" s="1" customFormat="1">
      <c r="A26" s="51">
        <v>28</v>
      </c>
      <c r="B26" s="5">
        <f>FEB!Y5/1000</f>
        <v>2997.3449999999998</v>
      </c>
      <c r="C26" s="5">
        <f>(FEB!Y10+FEB!Y11)/1000</f>
        <v>302.76</v>
      </c>
      <c r="D26" s="5">
        <f t="shared" si="0"/>
        <v>3300.1049999999996</v>
      </c>
      <c r="E26" s="6">
        <v>6760</v>
      </c>
      <c r="F26" s="7">
        <f t="shared" si="1"/>
        <v>0.48818121301775141</v>
      </c>
    </row>
    <row r="27" spans="1:11" s="1" customFormat="1">
      <c r="A27" s="10" t="s">
        <v>1</v>
      </c>
      <c r="B27" s="11">
        <f>AVERAGE(B4:B26)</f>
        <v>2919.7176086956524</v>
      </c>
      <c r="C27" s="11">
        <f>AVERAGE(C4:C26)</f>
        <v>482.98717391304348</v>
      </c>
      <c r="D27" s="11">
        <f>AVERAGE(D4:D26)</f>
        <v>3402.7047826086955</v>
      </c>
      <c r="E27" s="11">
        <f>AVERAGE(E4:E26)</f>
        <v>6760</v>
      </c>
      <c r="F27" s="12">
        <f>AVERAGE(F4:F26)</f>
        <v>0.50335869565217395</v>
      </c>
    </row>
    <row r="28" spans="1:11" s="1" customFormat="1">
      <c r="A28" s="13" t="s">
        <v>21</v>
      </c>
      <c r="B28" s="14">
        <f>MAX(B4:B26)</f>
        <v>4582.915</v>
      </c>
      <c r="C28" s="14">
        <f>MAX(C4:C26)</f>
        <v>848.72900000000004</v>
      </c>
      <c r="D28" s="14">
        <f>MAX(D4:D26)</f>
        <v>5317.1729999999998</v>
      </c>
      <c r="E28" s="15">
        <v>6760</v>
      </c>
      <c r="F28" s="16">
        <f>D28/E28</f>
        <v>0.78656405325443779</v>
      </c>
    </row>
    <row r="29" spans="1:11" s="1" customFormat="1">
      <c r="A29" s="17"/>
      <c r="B29" s="18"/>
      <c r="C29" s="18"/>
      <c r="D29" s="18"/>
      <c r="E29" s="19"/>
      <c r="F29" s="20"/>
    </row>
    <row r="30" spans="1:11" s="1" customFormat="1">
      <c r="A30" s="17"/>
      <c r="B30" s="18"/>
      <c r="C30" s="18"/>
      <c r="D30" s="18"/>
      <c r="E30" s="19"/>
      <c r="F30" s="20"/>
    </row>
    <row r="31" spans="1:11" s="1" customFormat="1">
      <c r="A31" s="21" t="s">
        <v>43</v>
      </c>
      <c r="B31" s="2"/>
      <c r="C31" s="2"/>
      <c r="D31" s="2"/>
      <c r="E31" s="2"/>
      <c r="F31" s="2"/>
    </row>
    <row r="32" spans="1:11" s="1" customFormat="1">
      <c r="A32" s="63" t="s">
        <v>17</v>
      </c>
      <c r="B32" s="65" t="s">
        <v>0</v>
      </c>
      <c r="C32" s="66"/>
      <c r="D32" s="63" t="s">
        <v>31</v>
      </c>
      <c r="E32" s="63" t="s">
        <v>18</v>
      </c>
      <c r="F32" s="63" t="s">
        <v>19</v>
      </c>
    </row>
    <row r="33" spans="1:19" s="1" customFormat="1">
      <c r="A33" s="64"/>
      <c r="B33" s="22" t="s">
        <v>28</v>
      </c>
      <c r="C33" s="22" t="s">
        <v>30</v>
      </c>
      <c r="D33" s="64"/>
      <c r="E33" s="64"/>
      <c r="F33" s="64"/>
    </row>
    <row r="34" spans="1:19">
      <c r="A34" s="51">
        <v>2</v>
      </c>
      <c r="B34" s="48">
        <f>(FEB!C12+FEB!C13+FEB!C14+FEB!C15+FEB!C16+FEB!C17+FEB!C18+FEB!C19+FEB!C20+FEB!C23)/1000</f>
        <v>8418.6605</v>
      </c>
      <c r="C34" s="36">
        <f>(FEB!C21+FEB!C22)/1000</f>
        <v>199.06800000000001</v>
      </c>
      <c r="D34" s="36">
        <f t="shared" ref="D34:D56" si="2">B34+C34</f>
        <v>8617.7284999999993</v>
      </c>
      <c r="E34" s="37">
        <v>12000</v>
      </c>
      <c r="F34" s="38">
        <f>D34/E34</f>
        <v>0.71814404166666657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s="1" customFormat="1">
      <c r="A35" s="51">
        <v>3</v>
      </c>
      <c r="B35" s="48">
        <f>(FEB!D12+FEB!D13+FEB!D14+FEB!D15+FEB!D16+FEB!D17+FEB!D18+FEB!D19+FEB!D20+FEB!D23)/1000</f>
        <v>8204.4585000000006</v>
      </c>
      <c r="C35" s="36">
        <f>(FEB!D21+FEB!D22)/1000</f>
        <v>315.26400000000001</v>
      </c>
      <c r="D35" s="36">
        <f t="shared" si="2"/>
        <v>8519.7224999999999</v>
      </c>
      <c r="E35" s="37">
        <v>12000</v>
      </c>
      <c r="F35" s="38">
        <f t="shared" ref="F35:F56" si="3">D35/E35</f>
        <v>0.70997687499999995</v>
      </c>
      <c r="H35" s="2"/>
      <c r="J35" s="2"/>
      <c r="K35" s="2"/>
    </row>
    <row r="36" spans="1:19" s="1" customFormat="1">
      <c r="A36" s="51">
        <v>4</v>
      </c>
      <c r="B36" s="48">
        <f>(FEB!E12+FEB!E13+FEB!E14+FEB!E15+FEB!E16+FEB!E17+FEB!E18+FEB!E19+FEB!E20+FEB!E23)/1000</f>
        <v>8217.7805000000008</v>
      </c>
      <c r="C36" s="36">
        <f>(FEB!E21+FEB!E22)/1000</f>
        <v>569.55399999999997</v>
      </c>
      <c r="D36" s="36">
        <f t="shared" si="2"/>
        <v>8787.3345000000008</v>
      </c>
      <c r="E36" s="37">
        <v>12000</v>
      </c>
      <c r="F36" s="38">
        <f t="shared" si="3"/>
        <v>0.73227787500000008</v>
      </c>
      <c r="H36" s="2"/>
      <c r="J36" s="2"/>
      <c r="K36" s="2"/>
    </row>
    <row r="37" spans="1:19" s="1" customFormat="1">
      <c r="A37" s="51">
        <v>5</v>
      </c>
      <c r="B37" s="48">
        <f>(FEB!F12+FEB!F13+FEB!F14+FEB!F15+FEB!F16+FEB!F17+FEB!F18+FEB!F19+FEB!F20+FEB!F23)/1000</f>
        <v>8138.3005000000003</v>
      </c>
      <c r="C37" s="36">
        <f>(FEB!F21+FEB!F22)/1000</f>
        <v>650.69000000000005</v>
      </c>
      <c r="D37" s="36">
        <f t="shared" si="2"/>
        <v>8788.9904999999999</v>
      </c>
      <c r="E37" s="37">
        <v>12000</v>
      </c>
      <c r="F37" s="38">
        <f t="shared" si="3"/>
        <v>0.73241587499999994</v>
      </c>
    </row>
    <row r="38" spans="1:19" s="1" customFormat="1">
      <c r="A38" s="51">
        <v>6</v>
      </c>
      <c r="B38" s="48">
        <f>(FEB!G12+FEB!G13+FEB!G14+FEB!G15+FEB!G16+FEB!G17+FEB!G18+FEB!G19+FEB!G20+FEB!G23)/1000</f>
        <v>7511.5834999999997</v>
      </c>
      <c r="C38" s="36">
        <f>(FEB!G21+FEB!G22)/1000</f>
        <v>476.00200000000001</v>
      </c>
      <c r="D38" s="36">
        <f t="shared" si="2"/>
        <v>7987.5855000000001</v>
      </c>
      <c r="E38" s="37">
        <v>12000</v>
      </c>
      <c r="F38" s="38">
        <f t="shared" si="3"/>
        <v>0.66563212500000002</v>
      </c>
    </row>
    <row r="39" spans="1:19" s="1" customFormat="1">
      <c r="A39" s="51">
        <v>7</v>
      </c>
      <c r="B39" s="48">
        <f>(FEB!H12+FEB!H13+FEB!H14+FEB!H15+FEB!H16+FEB!H17+FEB!H18+FEB!H19+FEB!H20+FEB!H23)/1000</f>
        <v>7280.9354999999996</v>
      </c>
      <c r="C39" s="36">
        <f>(FEB!H21+FEB!H22)/1000</f>
        <v>644.03800000000001</v>
      </c>
      <c r="D39" s="36">
        <f t="shared" si="2"/>
        <v>7924.9735000000001</v>
      </c>
      <c r="E39" s="37">
        <v>12000</v>
      </c>
      <c r="F39" s="38">
        <f t="shared" si="3"/>
        <v>0.66041445833333334</v>
      </c>
    </row>
    <row r="40" spans="1:19" s="1" customFormat="1">
      <c r="A40" s="51">
        <v>9</v>
      </c>
      <c r="B40" s="48">
        <f>(FEB!I12+FEB!I13+FEB!I14+FEB!I15+FEB!I16+FEB!I17+FEB!I18+FEB!I19+FEB!I20+FEB!I23)/1000</f>
        <v>6879.2714999999998</v>
      </c>
      <c r="C40" s="36">
        <f>(FEB!I21+FEB!I22)/1000</f>
        <v>887.29700000000003</v>
      </c>
      <c r="D40" s="36">
        <f t="shared" si="2"/>
        <v>7766.5684999999994</v>
      </c>
      <c r="E40" s="37">
        <v>12000</v>
      </c>
      <c r="F40" s="38">
        <f t="shared" si="3"/>
        <v>0.64721404166666663</v>
      </c>
    </row>
    <row r="41" spans="1:19" s="1" customFormat="1">
      <c r="A41" s="51">
        <v>10</v>
      </c>
      <c r="B41" s="48">
        <f>(FEB!J12+FEB!J13+FEB!J14+FEB!J15+FEB!J16+FEB!J17+FEB!J18+FEB!J19+FEB!J20+FEB!J23)/1000</f>
        <v>6439.0735000000004</v>
      </c>
      <c r="C41" s="36">
        <f>(FEB!J21+FEB!J22)/1000</f>
        <v>758.524</v>
      </c>
      <c r="D41" s="36">
        <f t="shared" si="2"/>
        <v>7197.5975000000008</v>
      </c>
      <c r="E41" s="37">
        <v>12000</v>
      </c>
      <c r="F41" s="38">
        <f t="shared" si="3"/>
        <v>0.59979979166666675</v>
      </c>
    </row>
    <row r="42" spans="1:19" s="1" customFormat="1">
      <c r="A42" s="51">
        <v>11</v>
      </c>
      <c r="B42" s="48">
        <f>(FEB!K12+FEB!K13+FEB!K14+FEB!K15+FEB!K16+FEB!K17+FEB!K18+FEB!K19+FEB!K20+FEB!K23)/1000</f>
        <v>6057.0895</v>
      </c>
      <c r="C42" s="36">
        <f>(FEB!K21+FEB!K22)/1000</f>
        <v>599.29</v>
      </c>
      <c r="D42" s="36">
        <f t="shared" si="2"/>
        <v>6656.3795</v>
      </c>
      <c r="E42" s="37">
        <v>12000</v>
      </c>
      <c r="F42" s="38">
        <f t="shared" si="3"/>
        <v>0.55469829166666662</v>
      </c>
    </row>
    <row r="43" spans="1:19" s="1" customFormat="1">
      <c r="A43" s="51">
        <v>12</v>
      </c>
      <c r="B43" s="48">
        <f>(FEB!L12+FEB!L13+FEB!L14+FEB!L15+FEB!L16+FEB!L17+FEB!L18+FEB!L19+FEB!L20+FEB!L23)/1000</f>
        <v>6419.5095000000001</v>
      </c>
      <c r="C43" s="36">
        <f>(FEB!L21+FEB!L22)/1000</f>
        <v>740.40099999999995</v>
      </c>
      <c r="D43" s="36">
        <f t="shared" si="2"/>
        <v>7159.9105</v>
      </c>
      <c r="E43" s="37">
        <v>12000</v>
      </c>
      <c r="F43" s="38">
        <f t="shared" si="3"/>
        <v>0.5966592083333333</v>
      </c>
    </row>
    <row r="44" spans="1:19" s="1" customFormat="1">
      <c r="A44" s="51">
        <v>13</v>
      </c>
      <c r="B44" s="48">
        <f>(FEB!M12+FEB!M13+FEB!M14+FEB!M15+FEB!M16+FEB!M17+FEB!M18+FEB!M19+FEB!M20+FEB!M23)/1000</f>
        <v>6411.5574999999999</v>
      </c>
      <c r="C44" s="36">
        <f>(FEB!M21+FEB!M22)/1000</f>
        <v>571.33600000000001</v>
      </c>
      <c r="D44" s="36">
        <f t="shared" si="2"/>
        <v>6982.8935000000001</v>
      </c>
      <c r="E44" s="37">
        <v>12000</v>
      </c>
      <c r="F44" s="38">
        <f t="shared" si="3"/>
        <v>0.58190779166666673</v>
      </c>
    </row>
    <row r="45" spans="1:19" s="1" customFormat="1">
      <c r="A45" s="51">
        <v>14</v>
      </c>
      <c r="B45" s="48">
        <f>(FEB!N12+FEB!N13+FEB!N14+FEB!N15+FEB!N16+FEB!N17+FEB!N18+FEB!N19+FEB!N20+FEB!N23)/1000</f>
        <v>7257.5635000000002</v>
      </c>
      <c r="C45" s="36">
        <f>(FEB!N21+FEB!N22)/1000</f>
        <v>490.06599999999997</v>
      </c>
      <c r="D45" s="36">
        <f t="shared" si="2"/>
        <v>7747.6295</v>
      </c>
      <c r="E45" s="37">
        <v>12000</v>
      </c>
      <c r="F45" s="38">
        <f t="shared" si="3"/>
        <v>0.64563579166666663</v>
      </c>
    </row>
    <row r="46" spans="1:19" s="1" customFormat="1">
      <c r="A46" s="51">
        <v>16</v>
      </c>
      <c r="B46" s="48">
        <f>(FEB!O12+FEB!O13+FEB!O14+FEB!O15+FEB!O16+FEB!O17+FEB!O18+FEB!O19+FEB!O20+FEB!O23)/1000</f>
        <v>6323.1234999999997</v>
      </c>
      <c r="C46" s="36">
        <f>(FEB!O21+FEB!O22)/1000</f>
        <v>383.52100000000002</v>
      </c>
      <c r="D46" s="36">
        <f t="shared" si="2"/>
        <v>6706.6444999999994</v>
      </c>
      <c r="E46" s="37">
        <v>12000</v>
      </c>
      <c r="F46" s="38">
        <f t="shared" si="3"/>
        <v>0.55888704166666658</v>
      </c>
    </row>
    <row r="47" spans="1:19" s="1" customFormat="1">
      <c r="A47" s="51">
        <v>18</v>
      </c>
      <c r="B47" s="48">
        <f>(FEB!P12+FEB!P13+FEB!P14+FEB!P15+FEB!P16+FEB!P17+FEB!P18+FEB!P19+FEB!P20+FEB!P23)/1000</f>
        <v>6476.9804999999997</v>
      </c>
      <c r="C47" s="36">
        <f>(FEB!P21+FEB!P22)/1000</f>
        <v>269.7</v>
      </c>
      <c r="D47" s="36">
        <f t="shared" si="2"/>
        <v>6746.6804999999995</v>
      </c>
      <c r="E47" s="37">
        <v>12000</v>
      </c>
      <c r="F47" s="38">
        <f t="shared" si="3"/>
        <v>0.56222337499999997</v>
      </c>
    </row>
    <row r="48" spans="1:19" s="1" customFormat="1">
      <c r="A48" s="51">
        <v>19</v>
      </c>
      <c r="B48" s="48">
        <f>(FEB!Q12+FEB!Q13+FEB!Q14+FEB!Q15+FEB!Q16+FEB!Q17+FEB!Q18+FEB!Q19+FEB!Q20+FEB!Q23)/1000</f>
        <v>6203.5585000000001</v>
      </c>
      <c r="C48" s="36">
        <f>(FEB!Q21+FEB!Q22)/1000</f>
        <v>211.47</v>
      </c>
      <c r="D48" s="36">
        <f t="shared" si="2"/>
        <v>6415.0285000000003</v>
      </c>
      <c r="E48" s="37">
        <v>12000</v>
      </c>
      <c r="F48" s="38">
        <f t="shared" si="3"/>
        <v>0.53458570833333341</v>
      </c>
    </row>
    <row r="49" spans="1:11" s="1" customFormat="1">
      <c r="A49" s="51">
        <v>20</v>
      </c>
      <c r="B49" s="48">
        <f>(FEB!R12+FEB!R13+FEB!R14+FEB!R15+FEB!R16+FEB!R17+FEB!R18+FEB!R19+FEB!R20+FEB!R23)/1000</f>
        <v>5890.6115</v>
      </c>
      <c r="C49" s="36">
        <f>(FEB!R21+FEB!R22)/1000</f>
        <v>241.84800000000001</v>
      </c>
      <c r="D49" s="36">
        <f t="shared" si="2"/>
        <v>6132.4594999999999</v>
      </c>
      <c r="E49" s="37">
        <v>12000</v>
      </c>
      <c r="F49" s="38">
        <f t="shared" si="3"/>
        <v>0.5110382916666667</v>
      </c>
    </row>
    <row r="50" spans="1:11" s="1" customFormat="1">
      <c r="A50" s="51">
        <v>21</v>
      </c>
      <c r="B50" s="48">
        <f>(FEB!S12+FEB!S13+FEB!S14+FEB!S15+FEB!S16+FEB!S17+FEB!S18+FEB!S19+FEB!S20+FEB!S23)/1000</f>
        <v>5860.9705000000004</v>
      </c>
      <c r="C50" s="36">
        <f>(FEB!S21+FEB!S22)/1000</f>
        <v>123.563</v>
      </c>
      <c r="D50" s="36">
        <f t="shared" si="2"/>
        <v>5984.5335000000005</v>
      </c>
      <c r="E50" s="37">
        <v>12000</v>
      </c>
      <c r="F50" s="38">
        <f t="shared" si="3"/>
        <v>0.49871112500000003</v>
      </c>
    </row>
    <row r="51" spans="1:11" s="1" customFormat="1" ht="15.75">
      <c r="A51" s="51">
        <v>23</v>
      </c>
      <c r="B51" s="48">
        <f>(FEB!T12+FEB!T13+FEB!T14+FEB!T15+FEB!T16+FEB!T17+FEB!T18+FEB!T19+FEB!T20+FEB!T23)/1000</f>
        <v>6053.2695000000003</v>
      </c>
      <c r="C51" s="36">
        <f>(FEB!T21+FEB!T22)/1000</f>
        <v>510.24</v>
      </c>
      <c r="D51" s="36">
        <f t="shared" si="2"/>
        <v>6563.5095000000001</v>
      </c>
      <c r="E51" s="37">
        <v>12000</v>
      </c>
      <c r="F51" s="38">
        <f t="shared" si="3"/>
        <v>0.54695912499999999</v>
      </c>
      <c r="H51" s="8" t="s">
        <v>22</v>
      </c>
    </row>
    <row r="52" spans="1:11" s="1" customFormat="1" ht="15.75">
      <c r="A52" s="51">
        <v>24</v>
      </c>
      <c r="B52" s="48">
        <f>(FEB!U12+FEB!U13+FEB!U14+FEB!U15+FEB!U16+FEB!U17+FEB!U18+FEB!U19+FEB!U20+FEB!U23)/1000</f>
        <v>6607.0654999999997</v>
      </c>
      <c r="C52" s="36">
        <f>(FEB!U21+FEB!U22)/1000</f>
        <v>374.154</v>
      </c>
      <c r="D52" s="36">
        <f t="shared" si="2"/>
        <v>6981.2194999999992</v>
      </c>
      <c r="E52" s="37">
        <v>12000</v>
      </c>
      <c r="F52" s="38">
        <f t="shared" si="3"/>
        <v>0.58176829166666655</v>
      </c>
      <c r="H52" s="8" t="s">
        <v>23</v>
      </c>
    </row>
    <row r="53" spans="1:11" s="1" customFormat="1" ht="15.75">
      <c r="A53" s="51">
        <v>25</v>
      </c>
      <c r="B53" s="48">
        <f>(FEB!V12+FEB!V13+FEB!V14+FEB!V15+FEB!V16+FEB!V17+FEB!V18+FEB!V19+FEB!V20+FEB!V23)/1000</f>
        <v>6732.4125000000004</v>
      </c>
      <c r="C53" s="36">
        <f>(FEB!V21+FEB!V22)/1000</f>
        <v>531.16099999999994</v>
      </c>
      <c r="D53" s="36">
        <f t="shared" si="2"/>
        <v>7263.5735000000004</v>
      </c>
      <c r="E53" s="37">
        <v>12000</v>
      </c>
      <c r="F53" s="38">
        <f t="shared" si="3"/>
        <v>0.60529779166666675</v>
      </c>
      <c r="H53" s="8" t="s">
        <v>24</v>
      </c>
      <c r="I53" s="8"/>
      <c r="J53" s="39">
        <v>12000</v>
      </c>
      <c r="K53" s="8" t="s">
        <v>25</v>
      </c>
    </row>
    <row r="54" spans="1:11" s="1" customFormat="1" ht="15.75">
      <c r="A54" s="51">
        <v>26</v>
      </c>
      <c r="B54" s="48">
        <f>(FEB!W12+FEB!W13+FEB!W14+FEB!W15+FEB!W16+FEB!W17+FEB!W18+FEB!W19+FEB!W20+FEB!W23)/1000</f>
        <v>6441.9105</v>
      </c>
      <c r="C54" s="36">
        <f>(FEB!W21+FEB!W22)/1000</f>
        <v>593.66</v>
      </c>
      <c r="D54" s="36">
        <f t="shared" si="2"/>
        <v>7035.5704999999998</v>
      </c>
      <c r="E54" s="37">
        <v>12000</v>
      </c>
      <c r="F54" s="38">
        <f t="shared" si="3"/>
        <v>0.5862975416666667</v>
      </c>
      <c r="H54" s="58" t="s">
        <v>48</v>
      </c>
      <c r="I54" s="58"/>
      <c r="J54" s="9">
        <v>7033</v>
      </c>
      <c r="K54" s="8" t="s">
        <v>25</v>
      </c>
    </row>
    <row r="55" spans="1:11" s="1" customFormat="1" ht="15.75">
      <c r="A55" s="51">
        <v>27</v>
      </c>
      <c r="B55" s="48">
        <f>(FEB!X12+FEB!X13+FEB!X14+FEB!X15+FEB!X16+FEB!X17+FEB!X18+FEB!X19+FEB!X20+FEB!X23)/1000</f>
        <v>6497.1904999999997</v>
      </c>
      <c r="C55" s="36">
        <f>(FEB!X21+FEB!X22)/1000</f>
        <v>411.15</v>
      </c>
      <c r="D55" s="36">
        <f t="shared" si="2"/>
        <v>6908.3404999999993</v>
      </c>
      <c r="E55" s="37">
        <v>12000</v>
      </c>
      <c r="F55" s="38">
        <f t="shared" si="3"/>
        <v>0.57569504166666663</v>
      </c>
      <c r="H55" s="8" t="s">
        <v>26</v>
      </c>
      <c r="I55" s="8"/>
      <c r="J55" s="40">
        <f>J54/J53</f>
        <v>0.58608333333333329</v>
      </c>
      <c r="K55" s="8" t="s">
        <v>25</v>
      </c>
    </row>
    <row r="56" spans="1:11" s="1" customFormat="1" ht="15.75">
      <c r="A56" s="51">
        <v>28</v>
      </c>
      <c r="B56" s="48">
        <f>(FEB!Y12+FEB!Y13+FEB!Y14+FEB!Y15+FEB!Y16+FEB!Y17+FEB!Y18+FEB!Y19+FEB!Y20+FEB!Y23)/1000</f>
        <v>6712.4504999999999</v>
      </c>
      <c r="C56" s="36">
        <f>(FEB!Y21+FEB!Y22)/1000</f>
        <v>320.12299999999999</v>
      </c>
      <c r="D56" s="36">
        <f t="shared" si="2"/>
        <v>7032.5734999999995</v>
      </c>
      <c r="E56" s="37">
        <v>12000</v>
      </c>
      <c r="F56" s="38">
        <f t="shared" si="3"/>
        <v>0.58604779166666665</v>
      </c>
      <c r="H56" s="8" t="s">
        <v>27</v>
      </c>
      <c r="I56" s="8"/>
      <c r="J56" s="40">
        <f>100%-J55</f>
        <v>0.41391666666666671</v>
      </c>
      <c r="K56" s="8" t="s">
        <v>25</v>
      </c>
    </row>
    <row r="57" spans="1:11" s="1" customFormat="1" ht="15.75">
      <c r="A57" s="23"/>
      <c r="B57" s="24">
        <f>AVERAGE(B34:B56)</f>
        <v>6827.6229347826084</v>
      </c>
      <c r="C57" s="24">
        <f>AVERAGE(C34:C56)</f>
        <v>472.70086956521737</v>
      </c>
      <c r="D57" s="24">
        <f>AVERAGE(D34:D56)</f>
        <v>7300.323804347825</v>
      </c>
      <c r="E57" s="24">
        <f>AVERAGE(E34:E56)</f>
        <v>12000</v>
      </c>
      <c r="F57" s="46">
        <f>AVERAGE(F34:F56)</f>
        <v>0.60836031702898552</v>
      </c>
      <c r="H57" s="8"/>
      <c r="I57" s="8"/>
      <c r="J57" s="40"/>
      <c r="K57" s="8"/>
    </row>
    <row r="58" spans="1:11" s="1" customFormat="1">
      <c r="A58" s="13" t="s">
        <v>21</v>
      </c>
      <c r="B58" s="14">
        <f>MAX(B34:B56)</f>
        <v>8418.6605</v>
      </c>
      <c r="C58" s="14">
        <f>MAX(C34:C56)</f>
        <v>887.29700000000003</v>
      </c>
      <c r="D58" s="14">
        <f>MAX(D34:D56)</f>
        <v>8788.9904999999999</v>
      </c>
      <c r="E58" s="15">
        <v>12000</v>
      </c>
      <c r="F58" s="16">
        <f>D58/E58</f>
        <v>0.73241587499999994</v>
      </c>
    </row>
    <row r="59" spans="1:11" s="1" customFormat="1">
      <c r="A59" s="17"/>
      <c r="B59" s="18"/>
      <c r="C59" s="18"/>
      <c r="D59" s="18"/>
      <c r="E59" s="19"/>
      <c r="F59" s="20"/>
    </row>
    <row r="60" spans="1:11" s="1" customFormat="1">
      <c r="A60" s="17"/>
      <c r="B60" s="18"/>
      <c r="C60" s="18"/>
      <c r="D60" s="18"/>
      <c r="E60" s="19"/>
      <c r="F60" s="20"/>
    </row>
    <row r="61" spans="1:11" s="1" customFormat="1">
      <c r="A61" s="2"/>
      <c r="B61" s="2"/>
      <c r="C61" s="2"/>
      <c r="D61" s="2"/>
      <c r="E61" s="2"/>
      <c r="F61" s="2"/>
    </row>
    <row r="62" spans="1:11" s="1" customFormat="1">
      <c r="A62" s="2"/>
      <c r="B62" s="2"/>
      <c r="C62" s="2"/>
      <c r="D62" s="2"/>
      <c r="E62" s="2"/>
      <c r="F62" s="2"/>
    </row>
    <row r="63" spans="1:11" s="1" customFormat="1">
      <c r="A63" s="2"/>
      <c r="B63" s="2"/>
      <c r="C63" s="2"/>
      <c r="D63" s="2"/>
      <c r="E63" s="2"/>
      <c r="F63" s="2"/>
    </row>
    <row r="64" spans="1:11" s="1" customFormat="1">
      <c r="A64" s="2"/>
      <c r="B64" s="2"/>
      <c r="C64" s="2"/>
      <c r="D64" s="2"/>
      <c r="E64" s="2"/>
      <c r="F64" s="2"/>
    </row>
    <row r="65" spans="1:27" s="1" customFormat="1">
      <c r="A65" s="2"/>
      <c r="B65" s="2"/>
      <c r="C65" s="2"/>
      <c r="D65" s="2"/>
      <c r="E65" s="2"/>
      <c r="F65" s="2"/>
    </row>
    <row r="66" spans="1:27" s="1" customFormat="1">
      <c r="A66" s="2"/>
      <c r="B66" s="2"/>
      <c r="C66" s="2"/>
      <c r="D66" s="2"/>
      <c r="E66" s="2"/>
      <c r="F66" s="2"/>
    </row>
    <row r="67" spans="1:27">
      <c r="T67" s="1"/>
      <c r="U67" s="1"/>
      <c r="V67" s="1"/>
      <c r="W67" s="1"/>
      <c r="X67" s="1"/>
      <c r="Y67" s="1"/>
      <c r="Z67" s="1"/>
      <c r="AA67" s="1"/>
    </row>
    <row r="68" spans="1:27">
      <c r="T68" s="1"/>
    </row>
    <row r="69" spans="1:27">
      <c r="T69" s="1"/>
    </row>
    <row r="70" spans="1:27">
      <c r="T70" s="1"/>
    </row>
    <row r="71" spans="1:27">
      <c r="T71" s="1"/>
    </row>
  </sheetData>
  <mergeCells count="12">
    <mergeCell ref="H54:I54"/>
    <mergeCell ref="A2:A3"/>
    <mergeCell ref="B2:C2"/>
    <mergeCell ref="D2:D3"/>
    <mergeCell ref="E2:E3"/>
    <mergeCell ref="F2:F3"/>
    <mergeCell ref="H21:I21"/>
    <mergeCell ref="A32:A33"/>
    <mergeCell ref="B32:C32"/>
    <mergeCell ref="D32:D33"/>
    <mergeCell ref="E32:E33"/>
    <mergeCell ref="F32:F33"/>
  </mergeCell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D46A-23FF-4954-A2B0-ACF82AC08352}">
  <sheetPr>
    <tabColor rgb="FFFDE4CA"/>
  </sheetPr>
  <dimension ref="A1:U28"/>
  <sheetViews>
    <sheetView zoomScale="93" zoomScaleNormal="93" workbookViewId="0">
      <pane xSplit="2" ySplit="4" topLeftCell="H11" activePane="bottomRight" state="frozen"/>
      <selection activeCell="J63" sqref="J63"/>
      <selection pane="topRight" activeCell="J63" sqref="J63"/>
      <selection pane="bottomLeft" activeCell="J63" sqref="J63"/>
      <selection pane="bottomRight" activeCell="T25" sqref="T25"/>
    </sheetView>
  </sheetViews>
  <sheetFormatPr defaultColWidth="9.140625" defaultRowHeight="15"/>
  <cols>
    <col min="1" max="1" width="18.5703125" customWidth="1"/>
    <col min="2" max="2" width="22.85546875" customWidth="1"/>
    <col min="3" max="5" width="10.85546875" customWidth="1"/>
    <col min="6" max="6" width="9.7109375" customWidth="1"/>
    <col min="7" max="7" width="10.85546875" bestFit="1" customWidth="1"/>
    <col min="8" max="8" width="10.85546875" customWidth="1"/>
    <col min="9" max="9" width="9.7109375" customWidth="1"/>
    <col min="10" max="20" width="10.85546875" customWidth="1"/>
    <col min="21" max="21" width="11.42578125" customWidth="1"/>
  </cols>
  <sheetData>
    <row r="1" spans="1:21" ht="18.75">
      <c r="A1" s="25" t="s">
        <v>45</v>
      </c>
      <c r="B1" s="26"/>
    </row>
    <row r="2" spans="1:21" ht="15.95" customHeight="1">
      <c r="A2" s="27"/>
      <c r="B2" s="28"/>
    </row>
    <row r="3" spans="1:21" ht="18.75" customHeight="1">
      <c r="A3" s="67" t="s">
        <v>0</v>
      </c>
      <c r="B3" s="67"/>
      <c r="C3" s="29">
        <v>2</v>
      </c>
      <c r="D3" s="29">
        <v>3</v>
      </c>
      <c r="E3" s="29">
        <v>4</v>
      </c>
      <c r="F3" s="29">
        <v>5</v>
      </c>
      <c r="G3" s="29">
        <v>6</v>
      </c>
      <c r="H3" s="29">
        <v>7</v>
      </c>
      <c r="I3" s="29">
        <v>9</v>
      </c>
      <c r="J3" s="29">
        <v>10</v>
      </c>
      <c r="K3" s="29">
        <v>11</v>
      </c>
      <c r="L3" s="29">
        <v>12</v>
      </c>
      <c r="M3" s="29">
        <v>13</v>
      </c>
      <c r="N3" s="29">
        <v>14</v>
      </c>
      <c r="O3" s="29">
        <v>16</v>
      </c>
      <c r="P3" s="29">
        <v>17</v>
      </c>
      <c r="Q3" s="29">
        <v>18</v>
      </c>
      <c r="R3" s="29">
        <v>28</v>
      </c>
      <c r="S3" s="29">
        <v>30</v>
      </c>
      <c r="T3" s="29">
        <v>31</v>
      </c>
      <c r="U3" s="34" t="s">
        <v>1</v>
      </c>
    </row>
    <row r="4" spans="1:21" ht="9" customHeight="1">
      <c r="A4" s="3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34"/>
    </row>
    <row r="5" spans="1:21" ht="18.75" customHeight="1">
      <c r="A5" s="68" t="s">
        <v>2</v>
      </c>
      <c r="B5" s="31" t="s">
        <v>3</v>
      </c>
      <c r="C5" s="49">
        <v>1994535</v>
      </c>
      <c r="D5" s="32">
        <v>2459630</v>
      </c>
      <c r="E5" s="32">
        <v>2712150</v>
      </c>
      <c r="F5" s="32">
        <v>2694980</v>
      </c>
      <c r="G5" s="32">
        <v>2093440</v>
      </c>
      <c r="H5" s="32">
        <v>1586580</v>
      </c>
      <c r="I5" s="32">
        <v>1486860</v>
      </c>
      <c r="J5" s="32">
        <v>1604790</v>
      </c>
      <c r="K5" s="32">
        <v>1680495</v>
      </c>
      <c r="L5" s="32">
        <v>2255160</v>
      </c>
      <c r="M5" s="32">
        <v>2255160</v>
      </c>
      <c r="N5" s="32">
        <v>3045020</v>
      </c>
      <c r="O5" s="32">
        <v>1765585</v>
      </c>
      <c r="P5" s="32">
        <v>1328520</v>
      </c>
      <c r="Q5" s="32">
        <v>466460</v>
      </c>
      <c r="R5" s="32">
        <v>629095</v>
      </c>
      <c r="S5" s="32">
        <v>843255</v>
      </c>
      <c r="T5" s="32">
        <v>1632645</v>
      </c>
      <c r="U5" s="35">
        <f>AVERAGE(C5:T5)</f>
        <v>1807464.4444444445</v>
      </c>
    </row>
    <row r="6" spans="1:21" ht="18.75" customHeight="1">
      <c r="A6" s="69"/>
      <c r="B6" s="31" t="s">
        <v>4</v>
      </c>
      <c r="C6" s="32">
        <v>173248</v>
      </c>
      <c r="D6" s="32">
        <v>169219</v>
      </c>
      <c r="E6" s="32">
        <v>169219</v>
      </c>
      <c r="F6" s="32">
        <v>169219</v>
      </c>
      <c r="G6" s="32">
        <v>162491</v>
      </c>
      <c r="H6" s="32">
        <v>159796</v>
      </c>
      <c r="I6" s="32">
        <v>318792</v>
      </c>
      <c r="J6" s="32">
        <v>545634</v>
      </c>
      <c r="K6" s="32">
        <v>318792</v>
      </c>
      <c r="L6" s="32">
        <v>318792</v>
      </c>
      <c r="M6" s="32">
        <v>308944</v>
      </c>
      <c r="N6" s="32">
        <v>307538</v>
      </c>
      <c r="O6" s="32">
        <v>256656</v>
      </c>
      <c r="P6" s="32">
        <v>348262</v>
      </c>
      <c r="Q6" s="32">
        <v>348262</v>
      </c>
      <c r="R6" s="32">
        <v>348262</v>
      </c>
      <c r="S6" s="32">
        <v>348262</v>
      </c>
      <c r="T6" s="32">
        <v>344034</v>
      </c>
      <c r="U6" s="35">
        <f t="shared" ref="U6:U25" si="0">AVERAGE(C6:T6)</f>
        <v>284190.11111111112</v>
      </c>
    </row>
    <row r="7" spans="1:21" ht="18.75" customHeight="1">
      <c r="A7" s="69"/>
      <c r="B7" s="31" t="s">
        <v>5</v>
      </c>
      <c r="C7" s="32">
        <v>376542</v>
      </c>
      <c r="D7" s="32">
        <v>371029</v>
      </c>
      <c r="E7" s="32">
        <v>371029</v>
      </c>
      <c r="F7" s="32">
        <v>371029</v>
      </c>
      <c r="G7" s="32">
        <v>367722</v>
      </c>
      <c r="H7" s="32">
        <v>367722</v>
      </c>
      <c r="I7" s="32">
        <v>354501</v>
      </c>
      <c r="J7" s="32">
        <v>354501</v>
      </c>
      <c r="K7" s="32">
        <v>354501</v>
      </c>
      <c r="L7" s="32">
        <v>354501</v>
      </c>
      <c r="M7" s="32">
        <v>332454</v>
      </c>
      <c r="N7" s="32">
        <v>332454</v>
      </c>
      <c r="O7" s="32">
        <v>291076</v>
      </c>
      <c r="P7" s="32">
        <v>286662</v>
      </c>
      <c r="Q7" s="32">
        <v>439433</v>
      </c>
      <c r="R7" s="32">
        <v>439433</v>
      </c>
      <c r="S7" s="32">
        <v>515274</v>
      </c>
      <c r="T7" s="32">
        <v>508658</v>
      </c>
      <c r="U7" s="35">
        <f t="shared" si="0"/>
        <v>377140.05555555556</v>
      </c>
    </row>
    <row r="8" spans="1:21" ht="18.75" customHeight="1">
      <c r="A8" s="69"/>
      <c r="B8" s="31" t="s">
        <v>6</v>
      </c>
      <c r="C8" s="32">
        <v>3600</v>
      </c>
      <c r="D8" s="32">
        <v>3600</v>
      </c>
      <c r="E8" s="32">
        <v>7200</v>
      </c>
      <c r="F8" s="32">
        <v>7200</v>
      </c>
      <c r="G8" s="32">
        <v>4800</v>
      </c>
      <c r="H8" s="32">
        <v>4800</v>
      </c>
      <c r="I8" s="32">
        <v>4800</v>
      </c>
      <c r="J8" s="32">
        <v>4800</v>
      </c>
      <c r="K8" s="32">
        <v>4800</v>
      </c>
      <c r="L8" s="32">
        <v>4800</v>
      </c>
      <c r="M8" s="32">
        <v>4800</v>
      </c>
      <c r="N8" s="32">
        <v>4800</v>
      </c>
      <c r="O8" s="32">
        <v>2400</v>
      </c>
      <c r="P8" s="32">
        <v>6000</v>
      </c>
      <c r="Q8" s="32">
        <v>6000</v>
      </c>
      <c r="R8" s="32">
        <v>6000</v>
      </c>
      <c r="S8" s="32">
        <v>6000</v>
      </c>
      <c r="T8" s="32">
        <v>6000</v>
      </c>
      <c r="U8" s="35">
        <f t="shared" si="0"/>
        <v>5133.333333333333</v>
      </c>
    </row>
    <row r="9" spans="1:21" ht="18.75" customHeight="1">
      <c r="A9" s="69"/>
      <c r="B9" s="31" t="s">
        <v>7</v>
      </c>
      <c r="C9" s="32">
        <v>36348</v>
      </c>
      <c r="D9" s="32">
        <v>36348</v>
      </c>
      <c r="E9" s="32">
        <v>43348</v>
      </c>
      <c r="F9" s="32">
        <v>43348</v>
      </c>
      <c r="G9" s="32">
        <v>41228</v>
      </c>
      <c r="H9" s="32">
        <v>41228</v>
      </c>
      <c r="I9" s="32">
        <v>37228</v>
      </c>
      <c r="J9" s="32">
        <v>37108</v>
      </c>
      <c r="K9" s="32">
        <v>37108</v>
      </c>
      <c r="L9" s="32">
        <v>37108</v>
      </c>
      <c r="M9" s="32">
        <v>37108</v>
      </c>
      <c r="N9" s="32">
        <v>36748</v>
      </c>
      <c r="O9" s="32">
        <v>32358</v>
      </c>
      <c r="P9" s="32">
        <v>38238</v>
      </c>
      <c r="Q9" s="32">
        <v>38238</v>
      </c>
      <c r="R9" s="32">
        <v>38238</v>
      </c>
      <c r="S9" s="32">
        <v>38238</v>
      </c>
      <c r="T9" s="32">
        <v>37238</v>
      </c>
      <c r="U9" s="35">
        <f t="shared" si="0"/>
        <v>38155.777777777781</v>
      </c>
    </row>
    <row r="10" spans="1:21" ht="18.75" customHeight="1">
      <c r="A10" s="69"/>
      <c r="B10" s="45" t="s">
        <v>29</v>
      </c>
      <c r="C10" s="44">
        <v>592743</v>
      </c>
      <c r="D10" s="44">
        <v>597072</v>
      </c>
      <c r="E10" s="44">
        <v>284876</v>
      </c>
      <c r="F10" s="44">
        <v>395102</v>
      </c>
      <c r="G10" s="44">
        <v>461466</v>
      </c>
      <c r="H10" s="44">
        <v>588930</v>
      </c>
      <c r="I10" s="44">
        <v>56586</v>
      </c>
      <c r="J10" s="44">
        <v>43828</v>
      </c>
      <c r="K10" s="44">
        <v>43828</v>
      </c>
      <c r="L10" s="44">
        <v>43828</v>
      </c>
      <c r="M10" s="44">
        <v>43828</v>
      </c>
      <c r="N10" s="44">
        <v>392726</v>
      </c>
      <c r="O10" s="44">
        <v>347802</v>
      </c>
      <c r="P10" s="44">
        <v>182279</v>
      </c>
      <c r="Q10" s="44">
        <v>51472</v>
      </c>
      <c r="R10" s="44">
        <v>47432</v>
      </c>
      <c r="S10" s="44">
        <v>49867</v>
      </c>
      <c r="T10" s="44">
        <v>123047</v>
      </c>
      <c r="U10" s="35">
        <f t="shared" si="0"/>
        <v>241484</v>
      </c>
    </row>
    <row r="11" spans="1:21" ht="18.75" customHeight="1">
      <c r="A11" s="69"/>
      <c r="B11" s="45" t="s">
        <v>32</v>
      </c>
      <c r="C11" s="44">
        <v>48388</v>
      </c>
      <c r="D11" s="44">
        <v>48388</v>
      </c>
      <c r="E11" s="44">
        <v>5363</v>
      </c>
      <c r="F11" s="44">
        <v>5363</v>
      </c>
      <c r="G11" s="44">
        <v>5363</v>
      </c>
      <c r="H11" s="44">
        <v>13511</v>
      </c>
      <c r="I11" s="44">
        <v>28846</v>
      </c>
      <c r="J11" s="44">
        <v>28846</v>
      </c>
      <c r="K11" s="44">
        <v>28846</v>
      </c>
      <c r="L11" s="44">
        <v>28846</v>
      </c>
      <c r="M11" s="44">
        <v>28846</v>
      </c>
      <c r="N11" s="44">
        <v>28846</v>
      </c>
      <c r="O11" s="44">
        <v>28846</v>
      </c>
      <c r="P11" s="44">
        <v>28846</v>
      </c>
      <c r="Q11" s="44">
        <v>28846</v>
      </c>
      <c r="R11" s="44">
        <v>28846</v>
      </c>
      <c r="S11" s="44">
        <v>29248</v>
      </c>
      <c r="T11" s="44">
        <v>28846</v>
      </c>
      <c r="U11" s="35">
        <f t="shared" si="0"/>
        <v>26273.888888888891</v>
      </c>
    </row>
    <row r="12" spans="1:21" ht="18.75" customHeight="1">
      <c r="A12" s="70" t="s">
        <v>8</v>
      </c>
      <c r="B12" s="31" t="s">
        <v>9</v>
      </c>
      <c r="C12" s="32">
        <v>1557979</v>
      </c>
      <c r="D12" s="32">
        <v>1703321</v>
      </c>
      <c r="E12" s="32">
        <v>1519241</v>
      </c>
      <c r="F12" s="32">
        <v>1292537</v>
      </c>
      <c r="G12" s="32">
        <v>1529040</v>
      </c>
      <c r="H12" s="32">
        <v>1766937</v>
      </c>
      <c r="I12" s="32">
        <v>2281865</v>
      </c>
      <c r="J12" s="32">
        <v>2183882</v>
      </c>
      <c r="K12" s="32">
        <v>2160928</v>
      </c>
      <c r="L12" s="32">
        <v>1868539</v>
      </c>
      <c r="M12" s="32">
        <v>1838463</v>
      </c>
      <c r="N12" s="32">
        <v>1869127</v>
      </c>
      <c r="O12" s="32">
        <v>2425121</v>
      </c>
      <c r="P12" s="32">
        <v>2753725</v>
      </c>
      <c r="Q12" s="32">
        <v>3977079</v>
      </c>
      <c r="R12" s="32">
        <v>3848382</v>
      </c>
      <c r="S12" s="32">
        <v>3424269</v>
      </c>
      <c r="T12" s="32">
        <v>1962863</v>
      </c>
      <c r="U12" s="35">
        <f t="shared" si="0"/>
        <v>2220183.222222222</v>
      </c>
    </row>
    <row r="13" spans="1:21" ht="18.75" customHeight="1">
      <c r="A13" s="71"/>
      <c r="B13" s="31" t="s">
        <v>33</v>
      </c>
      <c r="C13" s="32">
        <v>252272</v>
      </c>
      <c r="D13" s="32">
        <v>252272</v>
      </c>
      <c r="E13" s="32">
        <v>264403</v>
      </c>
      <c r="F13" s="32">
        <v>274068</v>
      </c>
      <c r="G13" s="32">
        <v>291644</v>
      </c>
      <c r="H13" s="32">
        <v>251124</v>
      </c>
      <c r="I13" s="32">
        <v>318961</v>
      </c>
      <c r="J13" s="32">
        <v>318961</v>
      </c>
      <c r="K13" s="32">
        <v>292696</v>
      </c>
      <c r="L13" s="32">
        <v>314028</v>
      </c>
      <c r="M13" s="32">
        <v>197263</v>
      </c>
      <c r="N13" s="32">
        <v>221417</v>
      </c>
      <c r="O13" s="32">
        <v>226749</v>
      </c>
      <c r="P13" s="32">
        <v>226749</v>
      </c>
      <c r="Q13" s="32">
        <v>226749</v>
      </c>
      <c r="R13" s="32">
        <v>275310</v>
      </c>
      <c r="S13" s="32">
        <v>247337</v>
      </c>
      <c r="T13" s="32">
        <v>264338</v>
      </c>
      <c r="U13" s="35">
        <f t="shared" si="0"/>
        <v>262018.94444444444</v>
      </c>
    </row>
    <row r="14" spans="1:21" ht="18.75" customHeight="1">
      <c r="A14" s="71"/>
      <c r="B14" s="31" t="s">
        <v>34</v>
      </c>
      <c r="C14" s="32">
        <v>9322</v>
      </c>
      <c r="D14" s="32">
        <v>9322</v>
      </c>
      <c r="E14" s="32">
        <v>9322</v>
      </c>
      <c r="F14" s="32">
        <v>23344</v>
      </c>
      <c r="G14" s="32">
        <v>19253</v>
      </c>
      <c r="H14" s="32">
        <v>76622</v>
      </c>
      <c r="I14" s="32">
        <v>76622</v>
      </c>
      <c r="J14" s="32">
        <v>130317</v>
      </c>
      <c r="K14" s="32">
        <v>231460</v>
      </c>
      <c r="L14" s="32">
        <v>231460</v>
      </c>
      <c r="M14" s="32">
        <v>226291</v>
      </c>
      <c r="N14" s="32">
        <v>225198</v>
      </c>
      <c r="O14" s="32">
        <v>225198</v>
      </c>
      <c r="P14" s="32">
        <v>243190</v>
      </c>
      <c r="Q14" s="32">
        <v>239351</v>
      </c>
      <c r="R14" s="32">
        <v>240627</v>
      </c>
      <c r="S14" s="32">
        <v>207235</v>
      </c>
      <c r="T14" s="32">
        <v>174531</v>
      </c>
      <c r="U14" s="35">
        <f t="shared" si="0"/>
        <v>144370.27777777778</v>
      </c>
    </row>
    <row r="15" spans="1:21" ht="18.75" customHeight="1">
      <c r="A15" s="71"/>
      <c r="B15" s="31" t="s">
        <v>35</v>
      </c>
      <c r="C15" s="32">
        <v>612788</v>
      </c>
      <c r="D15" s="32">
        <v>685740</v>
      </c>
      <c r="E15" s="32">
        <v>685740</v>
      </c>
      <c r="F15" s="32">
        <v>661124</v>
      </c>
      <c r="G15" s="32">
        <v>652269</v>
      </c>
      <c r="H15" s="32">
        <v>662348</v>
      </c>
      <c r="I15" s="32">
        <v>589042</v>
      </c>
      <c r="J15" s="32">
        <v>497776</v>
      </c>
      <c r="K15" s="32">
        <v>506930</v>
      </c>
      <c r="L15" s="32">
        <v>506930</v>
      </c>
      <c r="M15" s="32">
        <v>487780</v>
      </c>
      <c r="N15" s="32">
        <v>487780</v>
      </c>
      <c r="O15" s="32">
        <v>490771</v>
      </c>
      <c r="P15" s="32">
        <v>490746</v>
      </c>
      <c r="Q15" s="32">
        <v>465627</v>
      </c>
      <c r="R15" s="32">
        <v>459667</v>
      </c>
      <c r="S15" s="32">
        <v>439862</v>
      </c>
      <c r="T15" s="32">
        <v>439862</v>
      </c>
      <c r="U15" s="35">
        <f t="shared" si="0"/>
        <v>545710.11111111112</v>
      </c>
    </row>
    <row r="16" spans="1:21" ht="18.75" customHeight="1">
      <c r="A16" s="71"/>
      <c r="B16" s="31" t="s">
        <v>37</v>
      </c>
      <c r="C16" s="32">
        <v>1121317</v>
      </c>
      <c r="D16" s="32">
        <v>1121317</v>
      </c>
      <c r="E16" s="32">
        <v>1009568</v>
      </c>
      <c r="F16" s="32">
        <v>978994</v>
      </c>
      <c r="G16" s="32">
        <v>963990</v>
      </c>
      <c r="H16" s="32">
        <v>963990</v>
      </c>
      <c r="I16" s="32">
        <v>963990</v>
      </c>
      <c r="J16" s="32">
        <v>963990</v>
      </c>
      <c r="K16" s="32">
        <v>950193</v>
      </c>
      <c r="L16" s="32">
        <v>950193</v>
      </c>
      <c r="M16" s="32">
        <v>950193</v>
      </c>
      <c r="N16" s="32">
        <v>950193</v>
      </c>
      <c r="O16" s="32">
        <v>950193</v>
      </c>
      <c r="P16" s="32">
        <v>1033037</v>
      </c>
      <c r="Q16" s="32">
        <v>1033037</v>
      </c>
      <c r="R16" s="32">
        <v>1033037</v>
      </c>
      <c r="S16" s="32">
        <v>1033037</v>
      </c>
      <c r="T16" s="32">
        <v>1155100</v>
      </c>
      <c r="U16" s="35">
        <f t="shared" si="0"/>
        <v>1006964.9444444445</v>
      </c>
    </row>
    <row r="17" spans="1:21" ht="18.75" customHeight="1">
      <c r="A17" s="71"/>
      <c r="B17" s="47" t="s">
        <v>36</v>
      </c>
      <c r="C17" s="32">
        <v>880570.5</v>
      </c>
      <c r="D17" s="32">
        <v>880570.5</v>
      </c>
      <c r="E17" s="32">
        <v>585434.5</v>
      </c>
      <c r="F17" s="32">
        <v>585434.5</v>
      </c>
      <c r="G17" s="32">
        <v>444824</v>
      </c>
      <c r="H17" s="32">
        <v>444824</v>
      </c>
      <c r="I17" s="32">
        <v>444824</v>
      </c>
      <c r="J17" s="32">
        <v>444824</v>
      </c>
      <c r="K17" s="32">
        <v>328697</v>
      </c>
      <c r="L17" s="32">
        <v>328697</v>
      </c>
      <c r="M17" s="32">
        <v>328697</v>
      </c>
      <c r="N17" s="32">
        <v>328697</v>
      </c>
      <c r="O17" s="32">
        <v>296735</v>
      </c>
      <c r="P17" s="32">
        <v>296735</v>
      </c>
      <c r="Q17" s="32">
        <v>296735</v>
      </c>
      <c r="R17" s="32">
        <v>296735</v>
      </c>
      <c r="S17" s="32">
        <v>296735</v>
      </c>
      <c r="T17" s="32">
        <v>296735</v>
      </c>
      <c r="U17" s="35">
        <f t="shared" si="0"/>
        <v>433694.66666666669</v>
      </c>
    </row>
    <row r="18" spans="1:21" ht="18.75" customHeight="1">
      <c r="A18" s="71"/>
      <c r="B18" s="31" t="s">
        <v>10</v>
      </c>
      <c r="C18" s="32">
        <v>723874</v>
      </c>
      <c r="D18" s="32">
        <v>723874</v>
      </c>
      <c r="E18" s="32">
        <v>723874</v>
      </c>
      <c r="F18" s="32">
        <v>681071</v>
      </c>
      <c r="G18" s="32">
        <v>681071</v>
      </c>
      <c r="H18" s="32">
        <v>681071</v>
      </c>
      <c r="I18" s="32">
        <v>681071</v>
      </c>
      <c r="J18" s="32">
        <v>685065</v>
      </c>
      <c r="K18" s="32">
        <v>662292</v>
      </c>
      <c r="L18" s="32">
        <v>662292</v>
      </c>
      <c r="M18" s="32">
        <v>662292</v>
      </c>
      <c r="N18" s="32">
        <v>725520</v>
      </c>
      <c r="O18" s="32">
        <v>725520</v>
      </c>
      <c r="P18" s="32">
        <v>724944</v>
      </c>
      <c r="Q18" s="32">
        <v>718188</v>
      </c>
      <c r="R18" s="32">
        <v>718188</v>
      </c>
      <c r="S18" s="32">
        <v>718188</v>
      </c>
      <c r="T18" s="32">
        <v>729785</v>
      </c>
      <c r="U18" s="35">
        <f t="shared" si="0"/>
        <v>701565.5555555555</v>
      </c>
    </row>
    <row r="19" spans="1:21" ht="18.75" customHeight="1">
      <c r="A19" s="71"/>
      <c r="B19" s="31" t="s">
        <v>11</v>
      </c>
      <c r="C19" s="32">
        <v>99722</v>
      </c>
      <c r="D19" s="32">
        <v>99722</v>
      </c>
      <c r="E19" s="32">
        <v>99722</v>
      </c>
      <c r="F19" s="32">
        <v>108854</v>
      </c>
      <c r="G19" s="32">
        <v>108854</v>
      </c>
      <c r="H19" s="32">
        <v>108854</v>
      </c>
      <c r="I19" s="32">
        <v>108854</v>
      </c>
      <c r="J19" s="32">
        <v>95977</v>
      </c>
      <c r="K19" s="32">
        <v>86158</v>
      </c>
      <c r="L19" s="32">
        <v>86158</v>
      </c>
      <c r="M19" s="32">
        <v>86158</v>
      </c>
      <c r="N19" s="32">
        <v>157126</v>
      </c>
      <c r="O19" s="32">
        <v>157126</v>
      </c>
      <c r="P19" s="32">
        <v>163034</v>
      </c>
      <c r="Q19" s="32">
        <v>158301</v>
      </c>
      <c r="R19" s="32">
        <v>158301</v>
      </c>
      <c r="S19" s="32">
        <v>158301</v>
      </c>
      <c r="T19" s="32">
        <v>165280</v>
      </c>
      <c r="U19" s="35">
        <f t="shared" si="0"/>
        <v>122583.44444444444</v>
      </c>
    </row>
    <row r="20" spans="1:21" ht="18.75" customHeight="1">
      <c r="A20" s="71"/>
      <c r="B20" s="31" t="s">
        <v>12</v>
      </c>
      <c r="C20" s="32">
        <v>1273844</v>
      </c>
      <c r="D20" s="32">
        <v>1256321</v>
      </c>
      <c r="E20" s="32">
        <v>1083313</v>
      </c>
      <c r="F20" s="32">
        <v>1151949</v>
      </c>
      <c r="G20" s="32">
        <v>1091481</v>
      </c>
      <c r="H20" s="32">
        <v>1091481</v>
      </c>
      <c r="I20" s="32">
        <v>1051193</v>
      </c>
      <c r="J20" s="32">
        <v>855860</v>
      </c>
      <c r="K20" s="32">
        <v>833142</v>
      </c>
      <c r="L20" s="32">
        <v>832186</v>
      </c>
      <c r="M20" s="32">
        <v>784653</v>
      </c>
      <c r="N20" s="32">
        <v>719143</v>
      </c>
      <c r="O20" s="32">
        <v>661402</v>
      </c>
      <c r="P20" s="32">
        <v>644111</v>
      </c>
      <c r="Q20" s="32">
        <v>963067</v>
      </c>
      <c r="R20" s="32">
        <v>976634</v>
      </c>
      <c r="S20" s="32">
        <v>1031777</v>
      </c>
      <c r="T20" s="32">
        <v>986054</v>
      </c>
      <c r="U20" s="35">
        <f t="shared" si="0"/>
        <v>960422.83333333337</v>
      </c>
    </row>
    <row r="21" spans="1:21" ht="18.75" customHeight="1">
      <c r="A21" s="71"/>
      <c r="B21" s="45" t="s">
        <v>29</v>
      </c>
      <c r="C21" s="44">
        <v>160610</v>
      </c>
      <c r="D21" s="44">
        <v>162940</v>
      </c>
      <c r="E21" s="44">
        <v>252073</v>
      </c>
      <c r="F21" s="44">
        <v>108925</v>
      </c>
      <c r="G21" s="44">
        <v>116288</v>
      </c>
      <c r="H21" s="44">
        <v>117029</v>
      </c>
      <c r="I21" s="44">
        <v>160517</v>
      </c>
      <c r="J21" s="44">
        <v>125180</v>
      </c>
      <c r="K21" s="44">
        <v>111025</v>
      </c>
      <c r="L21" s="44">
        <v>73669</v>
      </c>
      <c r="M21" s="44">
        <v>114080</v>
      </c>
      <c r="N21" s="44">
        <v>92810</v>
      </c>
      <c r="O21" s="44">
        <v>857862</v>
      </c>
      <c r="P21" s="44">
        <v>118275</v>
      </c>
      <c r="Q21" s="44">
        <v>235373</v>
      </c>
      <c r="R21" s="44">
        <v>219774</v>
      </c>
      <c r="S21" s="44">
        <v>122762</v>
      </c>
      <c r="T21" s="44">
        <v>113137</v>
      </c>
      <c r="U21" s="35">
        <f t="shared" si="0"/>
        <v>181240.5</v>
      </c>
    </row>
    <row r="22" spans="1:21" ht="18.75" customHeight="1">
      <c r="A22" s="71"/>
      <c r="B22" s="45" t="s">
        <v>32</v>
      </c>
      <c r="C22" s="44">
        <v>80492</v>
      </c>
      <c r="D22" s="44">
        <v>108560</v>
      </c>
      <c r="E22" s="44">
        <v>119877</v>
      </c>
      <c r="F22" s="44">
        <v>108572</v>
      </c>
      <c r="G22" s="44">
        <v>133797</v>
      </c>
      <c r="H22" s="44">
        <v>131253</v>
      </c>
      <c r="I22" s="44">
        <v>109733</v>
      </c>
      <c r="J22" s="44">
        <v>63412</v>
      </c>
      <c r="K22" s="44">
        <v>61307</v>
      </c>
      <c r="L22" s="44">
        <v>51680</v>
      </c>
      <c r="M22" s="44">
        <v>55860</v>
      </c>
      <c r="N22" s="44">
        <v>66564</v>
      </c>
      <c r="O22" s="44">
        <v>223901</v>
      </c>
      <c r="P22" s="44">
        <v>196468</v>
      </c>
      <c r="Q22" s="44">
        <v>137721</v>
      </c>
      <c r="R22" s="44">
        <v>141878</v>
      </c>
      <c r="S22" s="44">
        <v>137518</v>
      </c>
      <c r="T22" s="44">
        <v>148401</v>
      </c>
      <c r="U22" s="35">
        <f t="shared" si="0"/>
        <v>115388.55555555556</v>
      </c>
    </row>
    <row r="23" spans="1:21" ht="18.75" customHeight="1">
      <c r="A23" s="72"/>
      <c r="B23" s="31" t="s">
        <v>14</v>
      </c>
      <c r="C23" s="49">
        <v>220371</v>
      </c>
      <c r="D23" s="32">
        <v>220371</v>
      </c>
      <c r="E23" s="32">
        <v>225086</v>
      </c>
      <c r="F23" s="32">
        <v>225086</v>
      </c>
      <c r="G23" s="32">
        <v>225086</v>
      </c>
      <c r="H23" s="32">
        <v>225086</v>
      </c>
      <c r="I23" s="32">
        <v>225086</v>
      </c>
      <c r="J23" s="32">
        <v>231302</v>
      </c>
      <c r="K23" s="32">
        <v>231302</v>
      </c>
      <c r="L23" s="32">
        <v>231302</v>
      </c>
      <c r="M23" s="32">
        <v>232281</v>
      </c>
      <c r="N23" s="32">
        <v>235312</v>
      </c>
      <c r="O23" s="32">
        <v>235312</v>
      </c>
      <c r="P23" s="32">
        <v>235312</v>
      </c>
      <c r="Q23" s="32">
        <v>235312</v>
      </c>
      <c r="R23" s="32">
        <v>235312</v>
      </c>
      <c r="S23" s="32">
        <v>235312</v>
      </c>
      <c r="T23" s="32">
        <v>239029</v>
      </c>
      <c r="U23" s="35">
        <f t="shared" si="0"/>
        <v>230181.11111111112</v>
      </c>
    </row>
    <row r="24" spans="1:21" ht="18.75" customHeight="1">
      <c r="A24" s="73" t="s">
        <v>13</v>
      </c>
      <c r="B24" s="31" t="s">
        <v>15</v>
      </c>
      <c r="C24" s="32">
        <v>4538</v>
      </c>
      <c r="D24" s="32">
        <v>5151</v>
      </c>
      <c r="E24" s="32">
        <v>5151</v>
      </c>
      <c r="F24" s="32">
        <v>5151</v>
      </c>
      <c r="G24" s="32">
        <v>5151</v>
      </c>
      <c r="H24" s="32">
        <v>0</v>
      </c>
      <c r="I24" s="32">
        <v>0</v>
      </c>
      <c r="J24" s="32">
        <v>550</v>
      </c>
      <c r="K24" s="32">
        <v>3247</v>
      </c>
      <c r="L24" s="32">
        <v>3247</v>
      </c>
      <c r="M24" s="32">
        <v>0</v>
      </c>
      <c r="N24" s="32">
        <v>0</v>
      </c>
      <c r="O24" s="32">
        <v>0</v>
      </c>
      <c r="P24" s="32">
        <v>540</v>
      </c>
      <c r="Q24" s="32">
        <v>1144</v>
      </c>
      <c r="R24" s="32">
        <v>1144</v>
      </c>
      <c r="S24" s="32">
        <v>1144</v>
      </c>
      <c r="T24" s="32">
        <v>1144</v>
      </c>
      <c r="U24" s="35">
        <f t="shared" si="0"/>
        <v>2072.3333333333335</v>
      </c>
    </row>
    <row r="25" spans="1:21" ht="18.75" customHeight="1">
      <c r="A25" s="74"/>
      <c r="B25" s="31" t="s">
        <v>16</v>
      </c>
      <c r="C25" s="32">
        <v>19627</v>
      </c>
      <c r="D25" s="32">
        <v>19535</v>
      </c>
      <c r="E25" s="32">
        <v>19535</v>
      </c>
      <c r="F25" s="32">
        <v>19535</v>
      </c>
      <c r="G25" s="32">
        <v>19535</v>
      </c>
      <c r="H25" s="32">
        <v>19535</v>
      </c>
      <c r="I25" s="32">
        <v>19535</v>
      </c>
      <c r="J25" s="32">
        <v>19535</v>
      </c>
      <c r="K25" s="32">
        <v>19613</v>
      </c>
      <c r="L25" s="32">
        <v>19613</v>
      </c>
      <c r="M25" s="32">
        <v>19627</v>
      </c>
      <c r="N25" s="32">
        <v>19627</v>
      </c>
      <c r="O25" s="32">
        <v>19627</v>
      </c>
      <c r="P25" s="32">
        <v>19613</v>
      </c>
      <c r="Q25" s="32">
        <v>19613</v>
      </c>
      <c r="R25" s="32">
        <v>19613</v>
      </c>
      <c r="S25" s="32">
        <v>19613</v>
      </c>
      <c r="T25" s="32">
        <v>19613</v>
      </c>
      <c r="U25" s="35">
        <f t="shared" si="0"/>
        <v>19585.777777777777</v>
      </c>
    </row>
    <row r="27" spans="1:21">
      <c r="A27" s="28"/>
    </row>
    <row r="28" spans="1:21">
      <c r="A28" s="33"/>
    </row>
  </sheetData>
  <mergeCells count="4">
    <mergeCell ref="A3:B3"/>
    <mergeCell ref="A5:A11"/>
    <mergeCell ref="A12:A23"/>
    <mergeCell ref="A24:A25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FB3B-6215-4FAE-A586-A53D521634F6}">
  <sheetPr>
    <tabColor rgb="FFFDE4CA"/>
  </sheetPr>
  <dimension ref="A1:AA68"/>
  <sheetViews>
    <sheetView topLeftCell="A31" workbookViewId="0">
      <selection activeCell="O43" sqref="O43"/>
    </sheetView>
  </sheetViews>
  <sheetFormatPr defaultColWidth="9" defaultRowHeight="15"/>
  <cols>
    <col min="1" max="1" width="14.28515625" style="2" customWidth="1"/>
    <col min="2" max="4" width="13.85546875" style="2" customWidth="1"/>
    <col min="5" max="5" width="15.42578125" style="2" customWidth="1"/>
    <col min="6" max="6" width="14.85546875" style="2" customWidth="1"/>
    <col min="7" max="8" width="12.42578125" style="1" customWidth="1"/>
    <col min="9" max="9" width="11.42578125" style="1" customWidth="1"/>
    <col min="10" max="10" width="9.7109375" style="1" bestFit="1" customWidth="1"/>
    <col min="11" max="19" width="9" style="1"/>
    <col min="20" max="257" width="9" style="2"/>
    <col min="258" max="261" width="15.42578125" style="2" customWidth="1"/>
    <col min="262" max="262" width="14" style="2" customWidth="1"/>
    <col min="263" max="263" width="12.42578125" style="2" customWidth="1"/>
    <col min="264" max="264" width="12.28515625" style="2" customWidth="1"/>
    <col min="265" max="265" width="12.140625" style="2" customWidth="1"/>
    <col min="266" max="513" width="9" style="2"/>
    <col min="514" max="517" width="15.42578125" style="2" customWidth="1"/>
    <col min="518" max="518" width="14" style="2" customWidth="1"/>
    <col min="519" max="519" width="12.42578125" style="2" customWidth="1"/>
    <col min="520" max="520" width="12.28515625" style="2" customWidth="1"/>
    <col min="521" max="521" width="12.140625" style="2" customWidth="1"/>
    <col min="522" max="769" width="9" style="2"/>
    <col min="770" max="773" width="15.42578125" style="2" customWidth="1"/>
    <col min="774" max="774" width="14" style="2" customWidth="1"/>
    <col min="775" max="775" width="12.42578125" style="2" customWidth="1"/>
    <col min="776" max="776" width="12.28515625" style="2" customWidth="1"/>
    <col min="777" max="777" width="12.140625" style="2" customWidth="1"/>
    <col min="778" max="1025" width="9" style="2"/>
    <col min="1026" max="1029" width="15.42578125" style="2" customWidth="1"/>
    <col min="1030" max="1030" width="14" style="2" customWidth="1"/>
    <col min="1031" max="1031" width="12.42578125" style="2" customWidth="1"/>
    <col min="1032" max="1032" width="12.28515625" style="2" customWidth="1"/>
    <col min="1033" max="1033" width="12.140625" style="2" customWidth="1"/>
    <col min="1034" max="1281" width="9" style="2"/>
    <col min="1282" max="1285" width="15.42578125" style="2" customWidth="1"/>
    <col min="1286" max="1286" width="14" style="2" customWidth="1"/>
    <col min="1287" max="1287" width="12.42578125" style="2" customWidth="1"/>
    <col min="1288" max="1288" width="12.28515625" style="2" customWidth="1"/>
    <col min="1289" max="1289" width="12.140625" style="2" customWidth="1"/>
    <col min="1290" max="1537" width="9" style="2"/>
    <col min="1538" max="1541" width="15.42578125" style="2" customWidth="1"/>
    <col min="1542" max="1542" width="14" style="2" customWidth="1"/>
    <col min="1543" max="1543" width="12.42578125" style="2" customWidth="1"/>
    <col min="1544" max="1544" width="12.28515625" style="2" customWidth="1"/>
    <col min="1545" max="1545" width="12.140625" style="2" customWidth="1"/>
    <col min="1546" max="1793" width="9" style="2"/>
    <col min="1794" max="1797" width="15.42578125" style="2" customWidth="1"/>
    <col min="1798" max="1798" width="14" style="2" customWidth="1"/>
    <col min="1799" max="1799" width="12.42578125" style="2" customWidth="1"/>
    <col min="1800" max="1800" width="12.28515625" style="2" customWidth="1"/>
    <col min="1801" max="1801" width="12.140625" style="2" customWidth="1"/>
    <col min="1802" max="2049" width="9" style="2"/>
    <col min="2050" max="2053" width="15.42578125" style="2" customWidth="1"/>
    <col min="2054" max="2054" width="14" style="2" customWidth="1"/>
    <col min="2055" max="2055" width="12.42578125" style="2" customWidth="1"/>
    <col min="2056" max="2056" width="12.28515625" style="2" customWidth="1"/>
    <col min="2057" max="2057" width="12.140625" style="2" customWidth="1"/>
    <col min="2058" max="2305" width="9" style="2"/>
    <col min="2306" max="2309" width="15.42578125" style="2" customWidth="1"/>
    <col min="2310" max="2310" width="14" style="2" customWidth="1"/>
    <col min="2311" max="2311" width="12.42578125" style="2" customWidth="1"/>
    <col min="2312" max="2312" width="12.28515625" style="2" customWidth="1"/>
    <col min="2313" max="2313" width="12.140625" style="2" customWidth="1"/>
    <col min="2314" max="2561" width="9" style="2"/>
    <col min="2562" max="2565" width="15.42578125" style="2" customWidth="1"/>
    <col min="2566" max="2566" width="14" style="2" customWidth="1"/>
    <col min="2567" max="2567" width="12.42578125" style="2" customWidth="1"/>
    <col min="2568" max="2568" width="12.28515625" style="2" customWidth="1"/>
    <col min="2569" max="2569" width="12.140625" style="2" customWidth="1"/>
    <col min="2570" max="2817" width="9" style="2"/>
    <col min="2818" max="2821" width="15.42578125" style="2" customWidth="1"/>
    <col min="2822" max="2822" width="14" style="2" customWidth="1"/>
    <col min="2823" max="2823" width="12.42578125" style="2" customWidth="1"/>
    <col min="2824" max="2824" width="12.28515625" style="2" customWidth="1"/>
    <col min="2825" max="2825" width="12.140625" style="2" customWidth="1"/>
    <col min="2826" max="3073" width="9" style="2"/>
    <col min="3074" max="3077" width="15.42578125" style="2" customWidth="1"/>
    <col min="3078" max="3078" width="14" style="2" customWidth="1"/>
    <col min="3079" max="3079" width="12.42578125" style="2" customWidth="1"/>
    <col min="3080" max="3080" width="12.28515625" style="2" customWidth="1"/>
    <col min="3081" max="3081" width="12.140625" style="2" customWidth="1"/>
    <col min="3082" max="3329" width="9" style="2"/>
    <col min="3330" max="3333" width="15.42578125" style="2" customWidth="1"/>
    <col min="3334" max="3334" width="14" style="2" customWidth="1"/>
    <col min="3335" max="3335" width="12.42578125" style="2" customWidth="1"/>
    <col min="3336" max="3336" width="12.28515625" style="2" customWidth="1"/>
    <col min="3337" max="3337" width="12.140625" style="2" customWidth="1"/>
    <col min="3338" max="3585" width="9" style="2"/>
    <col min="3586" max="3589" width="15.42578125" style="2" customWidth="1"/>
    <col min="3590" max="3590" width="14" style="2" customWidth="1"/>
    <col min="3591" max="3591" width="12.42578125" style="2" customWidth="1"/>
    <col min="3592" max="3592" width="12.28515625" style="2" customWidth="1"/>
    <col min="3593" max="3593" width="12.140625" style="2" customWidth="1"/>
    <col min="3594" max="3841" width="9" style="2"/>
    <col min="3842" max="3845" width="15.42578125" style="2" customWidth="1"/>
    <col min="3846" max="3846" width="14" style="2" customWidth="1"/>
    <col min="3847" max="3847" width="12.42578125" style="2" customWidth="1"/>
    <col min="3848" max="3848" width="12.28515625" style="2" customWidth="1"/>
    <col min="3849" max="3849" width="12.140625" style="2" customWidth="1"/>
    <col min="3850" max="4097" width="9" style="2"/>
    <col min="4098" max="4101" width="15.42578125" style="2" customWidth="1"/>
    <col min="4102" max="4102" width="14" style="2" customWidth="1"/>
    <col min="4103" max="4103" width="12.42578125" style="2" customWidth="1"/>
    <col min="4104" max="4104" width="12.28515625" style="2" customWidth="1"/>
    <col min="4105" max="4105" width="12.140625" style="2" customWidth="1"/>
    <col min="4106" max="4353" width="9" style="2"/>
    <col min="4354" max="4357" width="15.42578125" style="2" customWidth="1"/>
    <col min="4358" max="4358" width="14" style="2" customWidth="1"/>
    <col min="4359" max="4359" width="12.42578125" style="2" customWidth="1"/>
    <col min="4360" max="4360" width="12.28515625" style="2" customWidth="1"/>
    <col min="4361" max="4361" width="12.140625" style="2" customWidth="1"/>
    <col min="4362" max="4609" width="9" style="2"/>
    <col min="4610" max="4613" width="15.42578125" style="2" customWidth="1"/>
    <col min="4614" max="4614" width="14" style="2" customWidth="1"/>
    <col min="4615" max="4615" width="12.42578125" style="2" customWidth="1"/>
    <col min="4616" max="4616" width="12.28515625" style="2" customWidth="1"/>
    <col min="4617" max="4617" width="12.140625" style="2" customWidth="1"/>
    <col min="4618" max="4865" width="9" style="2"/>
    <col min="4866" max="4869" width="15.42578125" style="2" customWidth="1"/>
    <col min="4870" max="4870" width="14" style="2" customWidth="1"/>
    <col min="4871" max="4871" width="12.42578125" style="2" customWidth="1"/>
    <col min="4872" max="4872" width="12.28515625" style="2" customWidth="1"/>
    <col min="4873" max="4873" width="12.140625" style="2" customWidth="1"/>
    <col min="4874" max="5121" width="9" style="2"/>
    <col min="5122" max="5125" width="15.42578125" style="2" customWidth="1"/>
    <col min="5126" max="5126" width="14" style="2" customWidth="1"/>
    <col min="5127" max="5127" width="12.42578125" style="2" customWidth="1"/>
    <col min="5128" max="5128" width="12.28515625" style="2" customWidth="1"/>
    <col min="5129" max="5129" width="12.140625" style="2" customWidth="1"/>
    <col min="5130" max="5377" width="9" style="2"/>
    <col min="5378" max="5381" width="15.42578125" style="2" customWidth="1"/>
    <col min="5382" max="5382" width="14" style="2" customWidth="1"/>
    <col min="5383" max="5383" width="12.42578125" style="2" customWidth="1"/>
    <col min="5384" max="5384" width="12.28515625" style="2" customWidth="1"/>
    <col min="5385" max="5385" width="12.140625" style="2" customWidth="1"/>
    <col min="5386" max="5633" width="9" style="2"/>
    <col min="5634" max="5637" width="15.42578125" style="2" customWidth="1"/>
    <col min="5638" max="5638" width="14" style="2" customWidth="1"/>
    <col min="5639" max="5639" width="12.42578125" style="2" customWidth="1"/>
    <col min="5640" max="5640" width="12.28515625" style="2" customWidth="1"/>
    <col min="5641" max="5641" width="12.140625" style="2" customWidth="1"/>
    <col min="5642" max="5889" width="9" style="2"/>
    <col min="5890" max="5893" width="15.42578125" style="2" customWidth="1"/>
    <col min="5894" max="5894" width="14" style="2" customWidth="1"/>
    <col min="5895" max="5895" width="12.42578125" style="2" customWidth="1"/>
    <col min="5896" max="5896" width="12.28515625" style="2" customWidth="1"/>
    <col min="5897" max="5897" width="12.140625" style="2" customWidth="1"/>
    <col min="5898" max="6145" width="9" style="2"/>
    <col min="6146" max="6149" width="15.42578125" style="2" customWidth="1"/>
    <col min="6150" max="6150" width="14" style="2" customWidth="1"/>
    <col min="6151" max="6151" width="12.42578125" style="2" customWidth="1"/>
    <col min="6152" max="6152" width="12.28515625" style="2" customWidth="1"/>
    <col min="6153" max="6153" width="12.140625" style="2" customWidth="1"/>
    <col min="6154" max="6401" width="9" style="2"/>
    <col min="6402" max="6405" width="15.42578125" style="2" customWidth="1"/>
    <col min="6406" max="6406" width="14" style="2" customWidth="1"/>
    <col min="6407" max="6407" width="12.42578125" style="2" customWidth="1"/>
    <col min="6408" max="6408" width="12.28515625" style="2" customWidth="1"/>
    <col min="6409" max="6409" width="12.140625" style="2" customWidth="1"/>
    <col min="6410" max="6657" width="9" style="2"/>
    <col min="6658" max="6661" width="15.42578125" style="2" customWidth="1"/>
    <col min="6662" max="6662" width="14" style="2" customWidth="1"/>
    <col min="6663" max="6663" width="12.42578125" style="2" customWidth="1"/>
    <col min="6664" max="6664" width="12.28515625" style="2" customWidth="1"/>
    <col min="6665" max="6665" width="12.140625" style="2" customWidth="1"/>
    <col min="6666" max="6913" width="9" style="2"/>
    <col min="6914" max="6917" width="15.42578125" style="2" customWidth="1"/>
    <col min="6918" max="6918" width="14" style="2" customWidth="1"/>
    <col min="6919" max="6919" width="12.42578125" style="2" customWidth="1"/>
    <col min="6920" max="6920" width="12.28515625" style="2" customWidth="1"/>
    <col min="6921" max="6921" width="12.140625" style="2" customWidth="1"/>
    <col min="6922" max="7169" width="9" style="2"/>
    <col min="7170" max="7173" width="15.42578125" style="2" customWidth="1"/>
    <col min="7174" max="7174" width="14" style="2" customWidth="1"/>
    <col min="7175" max="7175" width="12.42578125" style="2" customWidth="1"/>
    <col min="7176" max="7176" width="12.28515625" style="2" customWidth="1"/>
    <col min="7177" max="7177" width="12.140625" style="2" customWidth="1"/>
    <col min="7178" max="7425" width="9" style="2"/>
    <col min="7426" max="7429" width="15.42578125" style="2" customWidth="1"/>
    <col min="7430" max="7430" width="14" style="2" customWidth="1"/>
    <col min="7431" max="7431" width="12.42578125" style="2" customWidth="1"/>
    <col min="7432" max="7432" width="12.28515625" style="2" customWidth="1"/>
    <col min="7433" max="7433" width="12.140625" style="2" customWidth="1"/>
    <col min="7434" max="7681" width="9" style="2"/>
    <col min="7682" max="7685" width="15.42578125" style="2" customWidth="1"/>
    <col min="7686" max="7686" width="14" style="2" customWidth="1"/>
    <col min="7687" max="7687" width="12.42578125" style="2" customWidth="1"/>
    <col min="7688" max="7688" width="12.28515625" style="2" customWidth="1"/>
    <col min="7689" max="7689" width="12.140625" style="2" customWidth="1"/>
    <col min="7690" max="7937" width="9" style="2"/>
    <col min="7938" max="7941" width="15.42578125" style="2" customWidth="1"/>
    <col min="7942" max="7942" width="14" style="2" customWidth="1"/>
    <col min="7943" max="7943" width="12.42578125" style="2" customWidth="1"/>
    <col min="7944" max="7944" width="12.28515625" style="2" customWidth="1"/>
    <col min="7945" max="7945" width="12.140625" style="2" customWidth="1"/>
    <col min="7946" max="8193" width="9" style="2"/>
    <col min="8194" max="8197" width="15.42578125" style="2" customWidth="1"/>
    <col min="8198" max="8198" width="14" style="2" customWidth="1"/>
    <col min="8199" max="8199" width="12.42578125" style="2" customWidth="1"/>
    <col min="8200" max="8200" width="12.28515625" style="2" customWidth="1"/>
    <col min="8201" max="8201" width="12.140625" style="2" customWidth="1"/>
    <col min="8202" max="8449" width="9" style="2"/>
    <col min="8450" max="8453" width="15.42578125" style="2" customWidth="1"/>
    <col min="8454" max="8454" width="14" style="2" customWidth="1"/>
    <col min="8455" max="8455" width="12.42578125" style="2" customWidth="1"/>
    <col min="8456" max="8456" width="12.28515625" style="2" customWidth="1"/>
    <col min="8457" max="8457" width="12.140625" style="2" customWidth="1"/>
    <col min="8458" max="8705" width="9" style="2"/>
    <col min="8706" max="8709" width="15.42578125" style="2" customWidth="1"/>
    <col min="8710" max="8710" width="14" style="2" customWidth="1"/>
    <col min="8711" max="8711" width="12.42578125" style="2" customWidth="1"/>
    <col min="8712" max="8712" width="12.28515625" style="2" customWidth="1"/>
    <col min="8713" max="8713" width="12.140625" style="2" customWidth="1"/>
    <col min="8714" max="8961" width="9" style="2"/>
    <col min="8962" max="8965" width="15.42578125" style="2" customWidth="1"/>
    <col min="8966" max="8966" width="14" style="2" customWidth="1"/>
    <col min="8967" max="8967" width="12.42578125" style="2" customWidth="1"/>
    <col min="8968" max="8968" width="12.28515625" style="2" customWidth="1"/>
    <col min="8969" max="8969" width="12.140625" style="2" customWidth="1"/>
    <col min="8970" max="9217" width="9" style="2"/>
    <col min="9218" max="9221" width="15.42578125" style="2" customWidth="1"/>
    <col min="9222" max="9222" width="14" style="2" customWidth="1"/>
    <col min="9223" max="9223" width="12.42578125" style="2" customWidth="1"/>
    <col min="9224" max="9224" width="12.28515625" style="2" customWidth="1"/>
    <col min="9225" max="9225" width="12.140625" style="2" customWidth="1"/>
    <col min="9226" max="9473" width="9" style="2"/>
    <col min="9474" max="9477" width="15.42578125" style="2" customWidth="1"/>
    <col min="9478" max="9478" width="14" style="2" customWidth="1"/>
    <col min="9479" max="9479" width="12.42578125" style="2" customWidth="1"/>
    <col min="9480" max="9480" width="12.28515625" style="2" customWidth="1"/>
    <col min="9481" max="9481" width="12.140625" style="2" customWidth="1"/>
    <col min="9482" max="9729" width="9" style="2"/>
    <col min="9730" max="9733" width="15.42578125" style="2" customWidth="1"/>
    <col min="9734" max="9734" width="14" style="2" customWidth="1"/>
    <col min="9735" max="9735" width="12.42578125" style="2" customWidth="1"/>
    <col min="9736" max="9736" width="12.28515625" style="2" customWidth="1"/>
    <col min="9737" max="9737" width="12.140625" style="2" customWidth="1"/>
    <col min="9738" max="9985" width="9" style="2"/>
    <col min="9986" max="9989" width="15.42578125" style="2" customWidth="1"/>
    <col min="9990" max="9990" width="14" style="2" customWidth="1"/>
    <col min="9991" max="9991" width="12.42578125" style="2" customWidth="1"/>
    <col min="9992" max="9992" width="12.28515625" style="2" customWidth="1"/>
    <col min="9993" max="9993" width="12.140625" style="2" customWidth="1"/>
    <col min="9994" max="10241" width="9" style="2"/>
    <col min="10242" max="10245" width="15.42578125" style="2" customWidth="1"/>
    <col min="10246" max="10246" width="14" style="2" customWidth="1"/>
    <col min="10247" max="10247" width="12.42578125" style="2" customWidth="1"/>
    <col min="10248" max="10248" width="12.28515625" style="2" customWidth="1"/>
    <col min="10249" max="10249" width="12.140625" style="2" customWidth="1"/>
    <col min="10250" max="10497" width="9" style="2"/>
    <col min="10498" max="10501" width="15.42578125" style="2" customWidth="1"/>
    <col min="10502" max="10502" width="14" style="2" customWidth="1"/>
    <col min="10503" max="10503" width="12.42578125" style="2" customWidth="1"/>
    <col min="10504" max="10504" width="12.28515625" style="2" customWidth="1"/>
    <col min="10505" max="10505" width="12.140625" style="2" customWidth="1"/>
    <col min="10506" max="10753" width="9" style="2"/>
    <col min="10754" max="10757" width="15.42578125" style="2" customWidth="1"/>
    <col min="10758" max="10758" width="14" style="2" customWidth="1"/>
    <col min="10759" max="10759" width="12.42578125" style="2" customWidth="1"/>
    <col min="10760" max="10760" width="12.28515625" style="2" customWidth="1"/>
    <col min="10761" max="10761" width="12.140625" style="2" customWidth="1"/>
    <col min="10762" max="11009" width="9" style="2"/>
    <col min="11010" max="11013" width="15.42578125" style="2" customWidth="1"/>
    <col min="11014" max="11014" width="14" style="2" customWidth="1"/>
    <col min="11015" max="11015" width="12.42578125" style="2" customWidth="1"/>
    <col min="11016" max="11016" width="12.28515625" style="2" customWidth="1"/>
    <col min="11017" max="11017" width="12.140625" style="2" customWidth="1"/>
    <col min="11018" max="11265" width="9" style="2"/>
    <col min="11266" max="11269" width="15.42578125" style="2" customWidth="1"/>
    <col min="11270" max="11270" width="14" style="2" customWidth="1"/>
    <col min="11271" max="11271" width="12.42578125" style="2" customWidth="1"/>
    <col min="11272" max="11272" width="12.28515625" style="2" customWidth="1"/>
    <col min="11273" max="11273" width="12.140625" style="2" customWidth="1"/>
    <col min="11274" max="11521" width="9" style="2"/>
    <col min="11522" max="11525" width="15.42578125" style="2" customWidth="1"/>
    <col min="11526" max="11526" width="14" style="2" customWidth="1"/>
    <col min="11527" max="11527" width="12.42578125" style="2" customWidth="1"/>
    <col min="11528" max="11528" width="12.28515625" style="2" customWidth="1"/>
    <col min="11529" max="11529" width="12.140625" style="2" customWidth="1"/>
    <col min="11530" max="11777" width="9" style="2"/>
    <col min="11778" max="11781" width="15.42578125" style="2" customWidth="1"/>
    <col min="11782" max="11782" width="14" style="2" customWidth="1"/>
    <col min="11783" max="11783" width="12.42578125" style="2" customWidth="1"/>
    <col min="11784" max="11784" width="12.28515625" style="2" customWidth="1"/>
    <col min="11785" max="11785" width="12.140625" style="2" customWidth="1"/>
    <col min="11786" max="12033" width="9" style="2"/>
    <col min="12034" max="12037" width="15.42578125" style="2" customWidth="1"/>
    <col min="12038" max="12038" width="14" style="2" customWidth="1"/>
    <col min="12039" max="12039" width="12.42578125" style="2" customWidth="1"/>
    <col min="12040" max="12040" width="12.28515625" style="2" customWidth="1"/>
    <col min="12041" max="12041" width="12.140625" style="2" customWidth="1"/>
    <col min="12042" max="12289" width="9" style="2"/>
    <col min="12290" max="12293" width="15.42578125" style="2" customWidth="1"/>
    <col min="12294" max="12294" width="14" style="2" customWidth="1"/>
    <col min="12295" max="12295" width="12.42578125" style="2" customWidth="1"/>
    <col min="12296" max="12296" width="12.28515625" style="2" customWidth="1"/>
    <col min="12297" max="12297" width="12.140625" style="2" customWidth="1"/>
    <col min="12298" max="12545" width="9" style="2"/>
    <col min="12546" max="12549" width="15.42578125" style="2" customWidth="1"/>
    <col min="12550" max="12550" width="14" style="2" customWidth="1"/>
    <col min="12551" max="12551" width="12.42578125" style="2" customWidth="1"/>
    <col min="12552" max="12552" width="12.28515625" style="2" customWidth="1"/>
    <col min="12553" max="12553" width="12.140625" style="2" customWidth="1"/>
    <col min="12554" max="12801" width="9" style="2"/>
    <col min="12802" max="12805" width="15.42578125" style="2" customWidth="1"/>
    <col min="12806" max="12806" width="14" style="2" customWidth="1"/>
    <col min="12807" max="12807" width="12.42578125" style="2" customWidth="1"/>
    <col min="12808" max="12808" width="12.28515625" style="2" customWidth="1"/>
    <col min="12809" max="12809" width="12.140625" style="2" customWidth="1"/>
    <col min="12810" max="13057" width="9" style="2"/>
    <col min="13058" max="13061" width="15.42578125" style="2" customWidth="1"/>
    <col min="13062" max="13062" width="14" style="2" customWidth="1"/>
    <col min="13063" max="13063" width="12.42578125" style="2" customWidth="1"/>
    <col min="13064" max="13064" width="12.28515625" style="2" customWidth="1"/>
    <col min="13065" max="13065" width="12.140625" style="2" customWidth="1"/>
    <col min="13066" max="13313" width="9" style="2"/>
    <col min="13314" max="13317" width="15.42578125" style="2" customWidth="1"/>
    <col min="13318" max="13318" width="14" style="2" customWidth="1"/>
    <col min="13319" max="13319" width="12.42578125" style="2" customWidth="1"/>
    <col min="13320" max="13320" width="12.28515625" style="2" customWidth="1"/>
    <col min="13321" max="13321" width="12.140625" style="2" customWidth="1"/>
    <col min="13322" max="13569" width="9" style="2"/>
    <col min="13570" max="13573" width="15.42578125" style="2" customWidth="1"/>
    <col min="13574" max="13574" width="14" style="2" customWidth="1"/>
    <col min="13575" max="13575" width="12.42578125" style="2" customWidth="1"/>
    <col min="13576" max="13576" width="12.28515625" style="2" customWidth="1"/>
    <col min="13577" max="13577" width="12.140625" style="2" customWidth="1"/>
    <col min="13578" max="13825" width="9" style="2"/>
    <col min="13826" max="13829" width="15.42578125" style="2" customWidth="1"/>
    <col min="13830" max="13830" width="14" style="2" customWidth="1"/>
    <col min="13831" max="13831" width="12.42578125" style="2" customWidth="1"/>
    <col min="13832" max="13832" width="12.28515625" style="2" customWidth="1"/>
    <col min="13833" max="13833" width="12.140625" style="2" customWidth="1"/>
    <col min="13834" max="14081" width="9" style="2"/>
    <col min="14082" max="14085" width="15.42578125" style="2" customWidth="1"/>
    <col min="14086" max="14086" width="14" style="2" customWidth="1"/>
    <col min="14087" max="14087" width="12.42578125" style="2" customWidth="1"/>
    <col min="14088" max="14088" width="12.28515625" style="2" customWidth="1"/>
    <col min="14089" max="14089" width="12.140625" style="2" customWidth="1"/>
    <col min="14090" max="14337" width="9" style="2"/>
    <col min="14338" max="14341" width="15.42578125" style="2" customWidth="1"/>
    <col min="14342" max="14342" width="14" style="2" customWidth="1"/>
    <col min="14343" max="14343" width="12.42578125" style="2" customWidth="1"/>
    <col min="14344" max="14344" width="12.28515625" style="2" customWidth="1"/>
    <col min="14345" max="14345" width="12.140625" style="2" customWidth="1"/>
    <col min="14346" max="14593" width="9" style="2"/>
    <col min="14594" max="14597" width="15.42578125" style="2" customWidth="1"/>
    <col min="14598" max="14598" width="14" style="2" customWidth="1"/>
    <col min="14599" max="14599" width="12.42578125" style="2" customWidth="1"/>
    <col min="14600" max="14600" width="12.28515625" style="2" customWidth="1"/>
    <col min="14601" max="14601" width="12.140625" style="2" customWidth="1"/>
    <col min="14602" max="14849" width="9" style="2"/>
    <col min="14850" max="14853" width="15.42578125" style="2" customWidth="1"/>
    <col min="14854" max="14854" width="14" style="2" customWidth="1"/>
    <col min="14855" max="14855" width="12.42578125" style="2" customWidth="1"/>
    <col min="14856" max="14856" width="12.28515625" style="2" customWidth="1"/>
    <col min="14857" max="14857" width="12.140625" style="2" customWidth="1"/>
    <col min="14858" max="15105" width="9" style="2"/>
    <col min="15106" max="15109" width="15.42578125" style="2" customWidth="1"/>
    <col min="15110" max="15110" width="14" style="2" customWidth="1"/>
    <col min="15111" max="15111" width="12.42578125" style="2" customWidth="1"/>
    <col min="15112" max="15112" width="12.28515625" style="2" customWidth="1"/>
    <col min="15113" max="15113" width="12.140625" style="2" customWidth="1"/>
    <col min="15114" max="15361" width="9" style="2"/>
    <col min="15362" max="15365" width="15.42578125" style="2" customWidth="1"/>
    <col min="15366" max="15366" width="14" style="2" customWidth="1"/>
    <col min="15367" max="15367" width="12.42578125" style="2" customWidth="1"/>
    <col min="15368" max="15368" width="12.28515625" style="2" customWidth="1"/>
    <col min="15369" max="15369" width="12.140625" style="2" customWidth="1"/>
    <col min="15370" max="15617" width="9" style="2"/>
    <col min="15618" max="15621" width="15.42578125" style="2" customWidth="1"/>
    <col min="15622" max="15622" width="14" style="2" customWidth="1"/>
    <col min="15623" max="15623" width="12.42578125" style="2" customWidth="1"/>
    <col min="15624" max="15624" width="12.28515625" style="2" customWidth="1"/>
    <col min="15625" max="15625" width="12.140625" style="2" customWidth="1"/>
    <col min="15626" max="15873" width="9" style="2"/>
    <col min="15874" max="15877" width="15.42578125" style="2" customWidth="1"/>
    <col min="15878" max="15878" width="14" style="2" customWidth="1"/>
    <col min="15879" max="15879" width="12.42578125" style="2" customWidth="1"/>
    <col min="15880" max="15880" width="12.28515625" style="2" customWidth="1"/>
    <col min="15881" max="15881" width="12.140625" style="2" customWidth="1"/>
    <col min="15882" max="16129" width="9" style="2"/>
    <col min="16130" max="16133" width="15.42578125" style="2" customWidth="1"/>
    <col min="16134" max="16134" width="14" style="2" customWidth="1"/>
    <col min="16135" max="16135" width="12.42578125" style="2" customWidth="1"/>
    <col min="16136" max="16136" width="12.28515625" style="2" customWidth="1"/>
    <col min="16137" max="16137" width="12.140625" style="2" customWidth="1"/>
    <col min="16138" max="16384" width="9" style="2"/>
  </cols>
  <sheetData>
    <row r="1" spans="1:7">
      <c r="A1" s="3" t="s">
        <v>46</v>
      </c>
    </row>
    <row r="2" spans="1:7">
      <c r="A2" s="59" t="s">
        <v>17</v>
      </c>
      <c r="B2" s="61" t="s">
        <v>0</v>
      </c>
      <c r="C2" s="62"/>
      <c r="D2" s="59" t="s">
        <v>31</v>
      </c>
      <c r="E2" s="59" t="s">
        <v>18</v>
      </c>
      <c r="F2" s="59" t="s">
        <v>19</v>
      </c>
    </row>
    <row r="3" spans="1:7" s="2" customFormat="1">
      <c r="A3" s="60"/>
      <c r="B3" s="4" t="s">
        <v>28</v>
      </c>
      <c r="C3" s="4" t="s">
        <v>30</v>
      </c>
      <c r="D3" s="60"/>
      <c r="E3" s="60"/>
      <c r="F3" s="60"/>
    </row>
    <row r="4" spans="1:7">
      <c r="A4" s="52">
        <v>2</v>
      </c>
      <c r="B4" s="5">
        <f>MAR!C5/1000</f>
        <v>1994.5350000000001</v>
      </c>
      <c r="C4" s="5">
        <f>(MAR!C10+MAR!C11)/1000</f>
        <v>641.13099999999997</v>
      </c>
      <c r="D4" s="5">
        <f t="shared" ref="D4:D21" si="0">B4+C4</f>
        <v>2635.6660000000002</v>
      </c>
      <c r="E4" s="6">
        <v>6760</v>
      </c>
      <c r="F4" s="7">
        <f>D4/E4</f>
        <v>0.38989142011834321</v>
      </c>
    </row>
    <row r="5" spans="1:7">
      <c r="A5" s="52">
        <v>3</v>
      </c>
      <c r="B5" s="5">
        <f>MAR!D5/1000</f>
        <v>2459.63</v>
      </c>
      <c r="C5" s="5">
        <f>(MAR!D10+MAR!D11)/1000</f>
        <v>645.46</v>
      </c>
      <c r="D5" s="5">
        <f t="shared" si="0"/>
        <v>3105.09</v>
      </c>
      <c r="E5" s="6">
        <v>6760</v>
      </c>
      <c r="F5" s="7">
        <f t="shared" ref="F5:F21" si="1">D5/E5</f>
        <v>0.45933284023668641</v>
      </c>
      <c r="G5" s="43"/>
    </row>
    <row r="6" spans="1:7">
      <c r="A6" s="52">
        <v>4</v>
      </c>
      <c r="B6" s="5">
        <f>MAR!E5/1000</f>
        <v>2712.15</v>
      </c>
      <c r="C6" s="5">
        <f>(MAR!E10+MAR!E11)/1000</f>
        <v>290.23899999999998</v>
      </c>
      <c r="D6" s="5">
        <f t="shared" si="0"/>
        <v>3002.3890000000001</v>
      </c>
      <c r="E6" s="6">
        <v>6760</v>
      </c>
      <c r="F6" s="7">
        <f t="shared" si="1"/>
        <v>0.44414038461538463</v>
      </c>
    </row>
    <row r="7" spans="1:7">
      <c r="A7" s="52">
        <v>5</v>
      </c>
      <c r="B7" s="5">
        <f>MAR!F5/1000</f>
        <v>2694.98</v>
      </c>
      <c r="C7" s="5">
        <f>(MAR!F10+MAR!F11)/1000</f>
        <v>400.46499999999997</v>
      </c>
      <c r="D7" s="5">
        <f t="shared" si="0"/>
        <v>3095.4450000000002</v>
      </c>
      <c r="E7" s="6">
        <v>6760</v>
      </c>
      <c r="F7" s="7">
        <f t="shared" si="1"/>
        <v>0.45790606508875742</v>
      </c>
    </row>
    <row r="8" spans="1:7">
      <c r="A8" s="52">
        <v>6</v>
      </c>
      <c r="B8" s="5">
        <f>MAR!G5/1000</f>
        <v>2093.44</v>
      </c>
      <c r="C8" s="5">
        <f>(MAR!G10+MAR!G11)/1000</f>
        <v>466.82900000000001</v>
      </c>
      <c r="D8" s="5">
        <f t="shared" si="0"/>
        <v>2560.2690000000002</v>
      </c>
      <c r="E8" s="6">
        <v>6760</v>
      </c>
      <c r="F8" s="7">
        <f t="shared" si="1"/>
        <v>0.37873801775147931</v>
      </c>
    </row>
    <row r="9" spans="1:7">
      <c r="A9" s="52">
        <v>7</v>
      </c>
      <c r="B9" s="5">
        <f>MAR!H5/1000</f>
        <v>1586.58</v>
      </c>
      <c r="C9" s="5">
        <f>(MAR!H10+MAR!H11)/1000</f>
        <v>602.44100000000003</v>
      </c>
      <c r="D9" s="5">
        <f t="shared" si="0"/>
        <v>2189.0209999999997</v>
      </c>
      <c r="E9" s="6">
        <v>6760</v>
      </c>
      <c r="F9" s="7">
        <f t="shared" si="1"/>
        <v>0.32381967455621297</v>
      </c>
    </row>
    <row r="10" spans="1:7">
      <c r="A10" s="52">
        <v>9</v>
      </c>
      <c r="B10" s="5">
        <f>MAR!I5/1000</f>
        <v>1486.86</v>
      </c>
      <c r="C10" s="5">
        <f>(MAR!I10+MAR!I11)/1000</f>
        <v>85.432000000000002</v>
      </c>
      <c r="D10" s="5">
        <f t="shared" si="0"/>
        <v>1572.2919999999999</v>
      </c>
      <c r="E10" s="6">
        <v>6760</v>
      </c>
      <c r="F10" s="7">
        <f t="shared" si="1"/>
        <v>0.23258757396449703</v>
      </c>
    </row>
    <row r="11" spans="1:7">
      <c r="A11" s="52">
        <v>10</v>
      </c>
      <c r="B11" s="5">
        <f>MAR!J5/1000</f>
        <v>1604.79</v>
      </c>
      <c r="C11" s="5">
        <f>(MAR!J10+MAR!J11)/1000</f>
        <v>72.674000000000007</v>
      </c>
      <c r="D11" s="5">
        <f t="shared" si="0"/>
        <v>1677.4639999999999</v>
      </c>
      <c r="E11" s="6">
        <v>6760</v>
      </c>
      <c r="F11" s="7">
        <f t="shared" si="1"/>
        <v>0.24814556213017749</v>
      </c>
    </row>
    <row r="12" spans="1:7">
      <c r="A12" s="52">
        <v>11</v>
      </c>
      <c r="B12" s="5">
        <f>MAR!K5/1000</f>
        <v>1680.4949999999999</v>
      </c>
      <c r="C12" s="5">
        <f>(MAR!K10+MAR!K11)/1000</f>
        <v>72.674000000000007</v>
      </c>
      <c r="D12" s="5">
        <f t="shared" si="0"/>
        <v>1753.1689999999999</v>
      </c>
      <c r="E12" s="6">
        <v>6760</v>
      </c>
      <c r="F12" s="7">
        <f t="shared" si="1"/>
        <v>0.25934452662721891</v>
      </c>
    </row>
    <row r="13" spans="1:7">
      <c r="A13" s="52">
        <v>12</v>
      </c>
      <c r="B13" s="5">
        <f>MAR!L5/1000</f>
        <v>2255.16</v>
      </c>
      <c r="C13" s="5">
        <f>(MAR!L10+MAR!L11)/1000</f>
        <v>72.674000000000007</v>
      </c>
      <c r="D13" s="5">
        <f t="shared" si="0"/>
        <v>2327.8339999999998</v>
      </c>
      <c r="E13" s="6">
        <v>6760</v>
      </c>
      <c r="F13" s="7">
        <f t="shared" si="1"/>
        <v>0.34435414201183429</v>
      </c>
    </row>
    <row r="14" spans="1:7">
      <c r="A14" s="52">
        <v>13</v>
      </c>
      <c r="B14" s="5">
        <f>MAR!M5/1000</f>
        <v>2255.16</v>
      </c>
      <c r="C14" s="5">
        <f>(MAR!M10+MAR!M11)/1000</f>
        <v>72.674000000000007</v>
      </c>
      <c r="D14" s="5">
        <f t="shared" si="0"/>
        <v>2327.8339999999998</v>
      </c>
      <c r="E14" s="6">
        <v>6760</v>
      </c>
      <c r="F14" s="7">
        <f t="shared" si="1"/>
        <v>0.34435414201183429</v>
      </c>
    </row>
    <row r="15" spans="1:7">
      <c r="A15" s="52">
        <v>14</v>
      </c>
      <c r="B15" s="5">
        <f>MAR!N5/1000</f>
        <v>3045.02</v>
      </c>
      <c r="C15" s="5">
        <f>(MAR!N10+MAR!N11)/1000</f>
        <v>421.572</v>
      </c>
      <c r="D15" s="5">
        <f t="shared" si="0"/>
        <v>3466.5920000000001</v>
      </c>
      <c r="E15" s="6">
        <v>6760</v>
      </c>
      <c r="F15" s="7">
        <f t="shared" si="1"/>
        <v>0.51280946745562128</v>
      </c>
    </row>
    <row r="16" spans="1:7">
      <c r="A16" s="52">
        <v>16</v>
      </c>
      <c r="B16" s="5">
        <f>MAR!O5/1000</f>
        <v>1765.585</v>
      </c>
      <c r="C16" s="5">
        <f>(MAR!O10+MAR!O11)/1000</f>
        <v>376.64800000000002</v>
      </c>
      <c r="D16" s="5">
        <f t="shared" si="0"/>
        <v>2142.2330000000002</v>
      </c>
      <c r="E16" s="6">
        <v>6760</v>
      </c>
      <c r="F16" s="7">
        <f t="shared" si="1"/>
        <v>0.31689837278106514</v>
      </c>
    </row>
    <row r="17" spans="1:19">
      <c r="A17" s="52">
        <v>17</v>
      </c>
      <c r="B17" s="5">
        <f>MAR!P5/1000</f>
        <v>1328.52</v>
      </c>
      <c r="C17" s="5">
        <f>(MAR!P10+MAR!P11)/1000</f>
        <v>211.125</v>
      </c>
      <c r="D17" s="5">
        <f t="shared" si="0"/>
        <v>1539.645</v>
      </c>
      <c r="E17" s="6">
        <v>6760</v>
      </c>
      <c r="F17" s="7">
        <f t="shared" si="1"/>
        <v>0.22775813609467455</v>
      </c>
    </row>
    <row r="18" spans="1:19">
      <c r="A18" s="52">
        <v>18</v>
      </c>
      <c r="B18" s="5">
        <f>466460/1000</f>
        <v>466.46</v>
      </c>
      <c r="C18" s="5">
        <f>(MAR!Q10+MAR!Q11)/1000</f>
        <v>80.317999999999998</v>
      </c>
      <c r="D18" s="5">
        <f t="shared" si="0"/>
        <v>546.77800000000002</v>
      </c>
      <c r="E18" s="6">
        <v>6760</v>
      </c>
      <c r="F18" s="7">
        <f t="shared" si="1"/>
        <v>8.0884319526627224E-2</v>
      </c>
    </row>
    <row r="19" spans="1:19" ht="15.75">
      <c r="A19" s="52">
        <v>28</v>
      </c>
      <c r="B19" s="5">
        <f>MAR!R5/1000</f>
        <v>629.09500000000003</v>
      </c>
      <c r="C19" s="5">
        <f>(MAR!R10+MAR!R11)/1000</f>
        <v>76.278000000000006</v>
      </c>
      <c r="D19" s="5">
        <f t="shared" si="0"/>
        <v>705.37300000000005</v>
      </c>
      <c r="E19" s="6">
        <v>6760</v>
      </c>
      <c r="F19" s="7">
        <f t="shared" si="1"/>
        <v>0.10434511834319528</v>
      </c>
      <c r="H19" s="8" t="s">
        <v>20</v>
      </c>
    </row>
    <row r="20" spans="1:19" ht="15.75">
      <c r="A20" s="52">
        <v>30</v>
      </c>
      <c r="B20" s="5">
        <f>MAR!S5/1000</f>
        <v>843.255</v>
      </c>
      <c r="C20" s="5">
        <f>(MAR!S10+MAR!S11)/1000</f>
        <v>79.114999999999995</v>
      </c>
      <c r="D20" s="5">
        <f t="shared" si="0"/>
        <v>922.37</v>
      </c>
      <c r="E20" s="6">
        <v>6760</v>
      </c>
      <c r="F20" s="7">
        <f t="shared" si="1"/>
        <v>0.13644526627218934</v>
      </c>
      <c r="H20" s="8" t="s">
        <v>24</v>
      </c>
      <c r="J20" s="39">
        <v>6760</v>
      </c>
      <c r="K20" s="41" t="s">
        <v>25</v>
      </c>
    </row>
    <row r="21" spans="1:19" ht="15.75">
      <c r="A21" s="52">
        <v>31</v>
      </c>
      <c r="B21" s="5">
        <f>MAR!T5/1000</f>
        <v>1632.645</v>
      </c>
      <c r="C21" s="5">
        <f>(MAR!T10+MAR!T11)/1000</f>
        <v>151.893</v>
      </c>
      <c r="D21" s="5">
        <f t="shared" si="0"/>
        <v>1784.538</v>
      </c>
      <c r="E21" s="6">
        <v>6760</v>
      </c>
      <c r="F21" s="7">
        <f t="shared" si="1"/>
        <v>0.26398491124260354</v>
      </c>
      <c r="H21" s="58" t="s">
        <v>52</v>
      </c>
      <c r="I21" s="58"/>
      <c r="J21" s="9">
        <v>1785</v>
      </c>
      <c r="K21" s="8" t="s">
        <v>25</v>
      </c>
    </row>
    <row r="22" spans="1:19" ht="15.75">
      <c r="A22" s="10" t="s">
        <v>1</v>
      </c>
      <c r="B22" s="11">
        <f>AVERAGE(B4:B21)</f>
        <v>1807.4644444444446</v>
      </c>
      <c r="C22" s="11">
        <f>AVERAGE(C4:C21)</f>
        <v>267.75788888888889</v>
      </c>
      <c r="D22" s="11">
        <f>AVERAGE(D4:D21)</f>
        <v>2075.2223333333332</v>
      </c>
      <c r="E22" s="11">
        <f>AVERAGE(E4:E21)</f>
        <v>6760</v>
      </c>
      <c r="F22" s="12">
        <f>AVERAGE(F4:F21)</f>
        <v>0.30698555226824459</v>
      </c>
      <c r="H22" s="8" t="s">
        <v>26</v>
      </c>
      <c r="J22" s="40">
        <f>J21/J20</f>
        <v>0.26405325443786981</v>
      </c>
      <c r="K22" s="8" t="s">
        <v>25</v>
      </c>
    </row>
    <row r="23" spans="1:19" s="1" customFormat="1">
      <c r="A23" s="13" t="s">
        <v>21</v>
      </c>
      <c r="B23" s="14">
        <f>MAX(B4:B21)</f>
        <v>3045.02</v>
      </c>
      <c r="C23" s="14">
        <f>MAX(C4:C21)</f>
        <v>645.46</v>
      </c>
      <c r="D23" s="14">
        <f>MAX(D4:D21)</f>
        <v>3466.5920000000001</v>
      </c>
      <c r="E23" s="15">
        <v>6760</v>
      </c>
      <c r="F23" s="16">
        <f>D23/E23</f>
        <v>0.51280946745562128</v>
      </c>
      <c r="H23" s="41" t="s">
        <v>27</v>
      </c>
      <c r="I23" s="41"/>
      <c r="J23" s="42">
        <f>100%-J22</f>
        <v>0.73594674556213024</v>
      </c>
      <c r="K23" s="41" t="s">
        <v>25</v>
      </c>
    </row>
    <row r="24" spans="1:19" s="1" customFormat="1">
      <c r="A24" s="17"/>
      <c r="B24" s="18"/>
      <c r="C24" s="18"/>
      <c r="D24" s="18"/>
      <c r="E24" s="19"/>
      <c r="F24" s="20"/>
    </row>
    <row r="25" spans="1:19" s="1" customFormat="1">
      <c r="A25" s="17"/>
      <c r="B25" s="18"/>
      <c r="C25" s="18"/>
      <c r="D25" s="18"/>
      <c r="E25" s="19"/>
      <c r="F25" s="20"/>
    </row>
    <row r="26" spans="1:19" s="1" customFormat="1">
      <c r="A26" s="21" t="s">
        <v>47</v>
      </c>
      <c r="B26" s="2"/>
      <c r="C26" s="2"/>
      <c r="D26" s="2"/>
      <c r="E26" s="2"/>
      <c r="F26" s="2"/>
    </row>
    <row r="27" spans="1:19" s="1" customFormat="1">
      <c r="A27" s="63" t="s">
        <v>17</v>
      </c>
      <c r="B27" s="65" t="s">
        <v>0</v>
      </c>
      <c r="C27" s="66"/>
      <c r="D27" s="63" t="s">
        <v>31</v>
      </c>
      <c r="E27" s="63" t="s">
        <v>18</v>
      </c>
      <c r="F27" s="63" t="s">
        <v>19</v>
      </c>
    </row>
    <row r="28" spans="1:19" s="1" customFormat="1">
      <c r="A28" s="64"/>
      <c r="B28" s="22" t="s">
        <v>28</v>
      </c>
      <c r="C28" s="22" t="s">
        <v>30</v>
      </c>
      <c r="D28" s="64"/>
      <c r="E28" s="64"/>
      <c r="F28" s="64"/>
    </row>
    <row r="29" spans="1:19" s="1" customFormat="1">
      <c r="A29" s="52">
        <v>2</v>
      </c>
      <c r="B29" s="48">
        <f>(MAR!C12+MAR!C13+MAR!C14+MAR!C15+MAR!C16+MAR!C17+MAR!C18+MAR!C19+MAR!C20+MAR!C23)/1000</f>
        <v>6752.0595000000003</v>
      </c>
      <c r="C29" s="36">
        <f>(MAR!C21+MAR!C22)/1000</f>
        <v>241.102</v>
      </c>
      <c r="D29" s="36">
        <f t="shared" ref="D29:D46" si="2">B29+C29</f>
        <v>6993.1615000000002</v>
      </c>
      <c r="E29" s="37">
        <v>12000</v>
      </c>
      <c r="F29" s="38">
        <f>D29/E29</f>
        <v>0.58276345833333332</v>
      </c>
    </row>
    <row r="30" spans="1:19">
      <c r="A30" s="52">
        <v>3</v>
      </c>
      <c r="B30" s="48">
        <f>(MAR!D12+MAR!D13+MAR!D14+MAR!D15+MAR!D16+MAR!D17+MAR!D18+MAR!D19+MAR!D20+MAR!D23)/1000</f>
        <v>6952.8305</v>
      </c>
      <c r="C30" s="36">
        <f>(MAR!D21+MAR!D22)/1000</f>
        <v>271.5</v>
      </c>
      <c r="D30" s="36">
        <f t="shared" si="2"/>
        <v>7224.3305</v>
      </c>
      <c r="E30" s="37">
        <v>12000</v>
      </c>
      <c r="F30" s="38">
        <f t="shared" ref="F30:F46" si="3">D30/E30</f>
        <v>0.60202754166666672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s="1" customFormat="1">
      <c r="A31" s="52">
        <v>4</v>
      </c>
      <c r="B31" s="48">
        <f>(MAR!E12+MAR!E13+MAR!E14+MAR!E15+MAR!E16+MAR!E17+MAR!E18+MAR!E19+MAR!E20+MAR!E23)/1000</f>
        <v>6205.7034999999996</v>
      </c>
      <c r="C31" s="36">
        <f>(MAR!E21+MAR!E22)/1000</f>
        <v>371.95</v>
      </c>
      <c r="D31" s="36">
        <f t="shared" si="2"/>
        <v>6577.6534999999994</v>
      </c>
      <c r="E31" s="37">
        <v>12000</v>
      </c>
      <c r="F31" s="38">
        <f t="shared" si="3"/>
        <v>0.54813779166666665</v>
      </c>
      <c r="H31" s="2"/>
      <c r="J31" s="2"/>
      <c r="K31" s="2"/>
    </row>
    <row r="32" spans="1:19" s="1" customFormat="1">
      <c r="A32" s="52">
        <v>5</v>
      </c>
      <c r="B32" s="48">
        <f>(MAR!F12+MAR!F13+MAR!F14+MAR!F15+MAR!F16+MAR!F17+MAR!F18+MAR!F19+MAR!F20+MAR!F23)/1000</f>
        <v>5982.4615000000003</v>
      </c>
      <c r="C32" s="36">
        <f>(MAR!F21+MAR!F22)/1000</f>
        <v>217.49700000000001</v>
      </c>
      <c r="D32" s="36">
        <f t="shared" si="2"/>
        <v>6199.9585000000006</v>
      </c>
      <c r="E32" s="37">
        <v>12000</v>
      </c>
      <c r="F32" s="38">
        <f t="shared" si="3"/>
        <v>0.51666320833333335</v>
      </c>
      <c r="H32" s="2"/>
      <c r="J32" s="2"/>
      <c r="K32" s="2"/>
    </row>
    <row r="33" spans="1:8" s="1" customFormat="1">
      <c r="A33" s="52">
        <v>6</v>
      </c>
      <c r="B33" s="48">
        <f>(MAR!G12+MAR!G13+MAR!G14+MAR!G15+MAR!G16+MAR!G17+MAR!G18+MAR!G19+MAR!G20+MAR!G23)/1000</f>
        <v>6007.5119999999997</v>
      </c>
      <c r="C33" s="36">
        <f>(MAR!G21+MAR!G22)/1000</f>
        <v>250.08500000000001</v>
      </c>
      <c r="D33" s="36">
        <f t="shared" si="2"/>
        <v>6257.5969999999998</v>
      </c>
      <c r="E33" s="37">
        <v>12000</v>
      </c>
      <c r="F33" s="38">
        <f t="shared" si="3"/>
        <v>0.5214664166666666</v>
      </c>
    </row>
    <row r="34" spans="1:8" s="1" customFormat="1">
      <c r="A34" s="52">
        <v>7</v>
      </c>
      <c r="B34" s="48">
        <f>(MAR!H12+MAR!H13+MAR!H14+MAR!H15+MAR!H16+MAR!H17+MAR!H18+MAR!H19+MAR!H20+MAR!H23)/1000</f>
        <v>6272.3370000000004</v>
      </c>
      <c r="C34" s="36">
        <f>(MAR!H21+MAR!H22)/1000</f>
        <v>248.28200000000001</v>
      </c>
      <c r="D34" s="36">
        <f t="shared" si="2"/>
        <v>6520.6190000000006</v>
      </c>
      <c r="E34" s="37">
        <v>12000</v>
      </c>
      <c r="F34" s="38">
        <f t="shared" si="3"/>
        <v>0.54338491666666666</v>
      </c>
    </row>
    <row r="35" spans="1:8" s="1" customFormat="1">
      <c r="A35" s="52">
        <v>9</v>
      </c>
      <c r="B35" s="48">
        <f>(MAR!I12+MAR!I13+MAR!I14+MAR!I15+MAR!I16+MAR!I17+MAR!I18+MAR!I19+MAR!I20+MAR!I23)/1000</f>
        <v>6741.5079999999998</v>
      </c>
      <c r="C35" s="36">
        <f>(MAR!I21+MAR!I22)/1000</f>
        <v>270.25</v>
      </c>
      <c r="D35" s="36">
        <f t="shared" si="2"/>
        <v>7011.7579999999998</v>
      </c>
      <c r="E35" s="37">
        <v>12000</v>
      </c>
      <c r="F35" s="38">
        <f t="shared" si="3"/>
        <v>0.58431316666666666</v>
      </c>
    </row>
    <row r="36" spans="1:8" s="1" customFormat="1">
      <c r="A36" s="52">
        <v>10</v>
      </c>
      <c r="B36" s="48">
        <f>(MAR!J12+MAR!J13+MAR!J14+MAR!J15+MAR!J16+MAR!J17+MAR!J18+MAR!J19+MAR!J20+MAR!J23)/1000</f>
        <v>6407.9539999999997</v>
      </c>
      <c r="C36" s="36">
        <f>(MAR!J21+MAR!J22)/1000</f>
        <v>188.59200000000001</v>
      </c>
      <c r="D36" s="36">
        <f t="shared" si="2"/>
        <v>6596.5459999999994</v>
      </c>
      <c r="E36" s="37">
        <v>12000</v>
      </c>
      <c r="F36" s="38">
        <f t="shared" si="3"/>
        <v>0.54971216666666667</v>
      </c>
    </row>
    <row r="37" spans="1:8" s="1" customFormat="1">
      <c r="A37" s="52">
        <v>11</v>
      </c>
      <c r="B37" s="48">
        <f>(MAR!K12+MAR!K13+MAR!K14+MAR!K15+MAR!K16+MAR!K17+MAR!K18+MAR!K19+MAR!K20+MAR!K23)/1000</f>
        <v>6283.7979999999998</v>
      </c>
      <c r="C37" s="36">
        <f>(MAR!K21+MAR!K22)/1000</f>
        <v>172.33199999999999</v>
      </c>
      <c r="D37" s="36">
        <f t="shared" si="2"/>
        <v>6456.13</v>
      </c>
      <c r="E37" s="37">
        <v>12000</v>
      </c>
      <c r="F37" s="38">
        <f t="shared" si="3"/>
        <v>0.53801083333333333</v>
      </c>
    </row>
    <row r="38" spans="1:8" s="1" customFormat="1">
      <c r="A38" s="52">
        <v>12</v>
      </c>
      <c r="B38" s="48">
        <f>(MAR!L12+MAR!L13+MAR!L14+MAR!L15+MAR!L16+MAR!L17+MAR!L18+MAR!L19+MAR!L20+MAR!L23)/1000</f>
        <v>6011.7849999999999</v>
      </c>
      <c r="C38" s="36">
        <f>(MAR!L21+MAR!L22)/1000</f>
        <v>125.349</v>
      </c>
      <c r="D38" s="36">
        <f t="shared" si="2"/>
        <v>6137.134</v>
      </c>
      <c r="E38" s="37">
        <v>12000</v>
      </c>
      <c r="F38" s="38">
        <f t="shared" si="3"/>
        <v>0.5114278333333333</v>
      </c>
    </row>
    <row r="39" spans="1:8" s="1" customFormat="1">
      <c r="A39" s="52">
        <v>13</v>
      </c>
      <c r="B39" s="48">
        <f>(MAR!M12+MAR!M13+MAR!M14+MAR!M15+MAR!M16+MAR!M17+MAR!M18+MAR!M19+MAR!M20+MAR!M23)/1000</f>
        <v>5794.0709999999999</v>
      </c>
      <c r="C39" s="36">
        <f>(MAR!M21+MAR!M22)/1000</f>
        <v>169.94</v>
      </c>
      <c r="D39" s="36">
        <f t="shared" si="2"/>
        <v>5964.0109999999995</v>
      </c>
      <c r="E39" s="37">
        <v>12000</v>
      </c>
      <c r="F39" s="38">
        <f t="shared" si="3"/>
        <v>0.49700091666666663</v>
      </c>
    </row>
    <row r="40" spans="1:8" s="1" customFormat="1">
      <c r="A40" s="52">
        <v>14</v>
      </c>
      <c r="B40" s="48">
        <f>(MAR!N12+MAR!N13+MAR!N14+MAR!N15+MAR!N16+MAR!N17+MAR!N18+MAR!N19+MAR!N20+MAR!N23)/1000</f>
        <v>5919.5129999999999</v>
      </c>
      <c r="C40" s="36">
        <f>(MAR!N21+MAR!N22)/1000</f>
        <v>159.374</v>
      </c>
      <c r="D40" s="36">
        <f t="shared" si="2"/>
        <v>6078.8869999999997</v>
      </c>
      <c r="E40" s="37">
        <v>12000</v>
      </c>
      <c r="F40" s="38">
        <f t="shared" si="3"/>
        <v>0.50657391666666662</v>
      </c>
    </row>
    <row r="41" spans="1:8" s="1" customFormat="1">
      <c r="A41" s="52">
        <v>16</v>
      </c>
      <c r="B41" s="48">
        <f>(MAR!O12+MAR!O13+MAR!O14+MAR!O15+MAR!O16+MAR!O17+MAR!O18+MAR!O19+MAR!O20+MAR!O23)/1000</f>
        <v>6394.1270000000004</v>
      </c>
      <c r="C41" s="36">
        <f>(MAR!O21+MAR!O22)/1000</f>
        <v>1081.7629999999999</v>
      </c>
      <c r="D41" s="36">
        <f t="shared" si="2"/>
        <v>7475.89</v>
      </c>
      <c r="E41" s="37">
        <v>12000</v>
      </c>
      <c r="F41" s="38">
        <f t="shared" si="3"/>
        <v>0.62299083333333338</v>
      </c>
    </row>
    <row r="42" spans="1:8" s="1" customFormat="1">
      <c r="A42" s="52">
        <v>17</v>
      </c>
      <c r="B42" s="48">
        <f>(MAR!P12+MAR!P13+MAR!P14+MAR!P15+MAR!P16+MAR!P17+MAR!P18+MAR!P19+MAR!P20+MAR!P23)/1000</f>
        <v>6811.5829999999996</v>
      </c>
      <c r="C42" s="36">
        <f>(MAR!P21+MAR!P22)/1000</f>
        <v>314.74299999999999</v>
      </c>
      <c r="D42" s="36">
        <f t="shared" si="2"/>
        <v>7126.326</v>
      </c>
      <c r="E42" s="37">
        <v>12000</v>
      </c>
      <c r="F42" s="38">
        <f t="shared" si="3"/>
        <v>0.59386050000000001</v>
      </c>
    </row>
    <row r="43" spans="1:8" s="1" customFormat="1">
      <c r="A43" s="52">
        <v>18</v>
      </c>
      <c r="B43" s="48">
        <f>(MAR!Q12+MAR!Q13+MAR!Q14+MAR!Q15+MAR!Q16+MAR!Q17+MAR!Q18+MAR!Q19+MAR!Q20+MAR!Q23)/1000</f>
        <v>8313.4459999999999</v>
      </c>
      <c r="C43" s="36">
        <f>(MAR!Q21+MAR!Q22)/1000</f>
        <v>373.09399999999999</v>
      </c>
      <c r="D43" s="36">
        <f t="shared" si="2"/>
        <v>8686.5399999999991</v>
      </c>
      <c r="E43" s="37">
        <v>12000</v>
      </c>
      <c r="F43" s="38">
        <f t="shared" si="3"/>
        <v>0.72387833333333329</v>
      </c>
    </row>
    <row r="44" spans="1:8" s="1" customFormat="1">
      <c r="A44" s="52">
        <v>28</v>
      </c>
      <c r="B44" s="48">
        <f>(MAR!R12+MAR!R13+MAR!R14+MAR!R15+MAR!R16+MAR!R17+MAR!R18+MAR!R19+MAR!R20+MAR!R23)/1000</f>
        <v>8242.1929999999993</v>
      </c>
      <c r="C44" s="36">
        <f>(MAR!R21+MAR!R22)/1000</f>
        <v>361.65199999999999</v>
      </c>
      <c r="D44" s="36">
        <f t="shared" si="2"/>
        <v>8603.8449999999993</v>
      </c>
      <c r="E44" s="37">
        <v>12000</v>
      </c>
      <c r="F44" s="38">
        <f t="shared" si="3"/>
        <v>0.71698708333333327</v>
      </c>
    </row>
    <row r="45" spans="1:8" s="1" customFormat="1">
      <c r="A45" s="52">
        <v>30</v>
      </c>
      <c r="B45" s="48">
        <f>(MAR!S12+MAR!S13+MAR!S14+MAR!S15+MAR!S16+MAR!S17+MAR!S18+MAR!S19+MAR!S20+MAR!S23)/1000</f>
        <v>7792.0529999999999</v>
      </c>
      <c r="C45" s="36">
        <f>(MAR!S21+MAR!S22)/1000</f>
        <v>260.27999999999997</v>
      </c>
      <c r="D45" s="36">
        <f t="shared" si="2"/>
        <v>8052.3329999999996</v>
      </c>
      <c r="E45" s="37">
        <v>12000</v>
      </c>
      <c r="F45" s="38">
        <f t="shared" si="3"/>
        <v>0.67102774999999992</v>
      </c>
    </row>
    <row r="46" spans="1:8" s="1" customFormat="1">
      <c r="A46" s="52">
        <v>31</v>
      </c>
      <c r="B46" s="48">
        <f>(MAR!T12+MAR!T13+MAR!T14+MAR!T15+MAR!T16+MAR!T17+MAR!T18+MAR!T19+MAR!T20+MAR!T23)/1000</f>
        <v>6413.5770000000002</v>
      </c>
      <c r="C46" s="36">
        <f>(MAR!T21+MAR!T22)/1000</f>
        <v>261.53800000000001</v>
      </c>
      <c r="D46" s="36">
        <f t="shared" si="2"/>
        <v>6675.1149999999998</v>
      </c>
      <c r="E46" s="37">
        <v>12000</v>
      </c>
      <c r="F46" s="38">
        <f t="shared" si="3"/>
        <v>0.55625958333333336</v>
      </c>
    </row>
    <row r="47" spans="1:8" s="1" customFormat="1" ht="15.75">
      <c r="A47" s="23"/>
      <c r="B47" s="24">
        <f>AVERAGE(B29:B46)</f>
        <v>6627.6951111111111</v>
      </c>
      <c r="C47" s="24">
        <f>AVERAGE(C29:C46)</f>
        <v>296.62905555555545</v>
      </c>
      <c r="D47" s="24">
        <f>AVERAGE(D29:D46)</f>
        <v>6924.3241666666672</v>
      </c>
      <c r="E47" s="24">
        <f>AVERAGE(E29:E46)</f>
        <v>12000</v>
      </c>
      <c r="F47" s="46">
        <f>AVERAGE(F29:F46)</f>
        <v>0.57702701388888888</v>
      </c>
      <c r="H47" s="8" t="s">
        <v>22</v>
      </c>
    </row>
    <row r="48" spans="1:8" s="1" customFormat="1" ht="15.75">
      <c r="A48" s="13" t="s">
        <v>21</v>
      </c>
      <c r="B48" s="14">
        <f>MAX(B29:B46)</f>
        <v>8313.4459999999999</v>
      </c>
      <c r="C48" s="14">
        <f>MAX(C29:C46)</f>
        <v>1081.7629999999999</v>
      </c>
      <c r="D48" s="14">
        <f>MAX(D29:D46)</f>
        <v>8686.5399999999991</v>
      </c>
      <c r="E48" s="15">
        <v>12000</v>
      </c>
      <c r="F48" s="16">
        <f>D48/E48</f>
        <v>0.72387833333333329</v>
      </c>
      <c r="H48" s="8" t="s">
        <v>23</v>
      </c>
    </row>
    <row r="49" spans="1:27" s="1" customFormat="1" ht="15.75">
      <c r="A49" s="17"/>
      <c r="B49" s="18"/>
      <c r="C49" s="18"/>
      <c r="D49" s="18"/>
      <c r="E49" s="19"/>
      <c r="F49" s="20"/>
      <c r="H49" s="8" t="s">
        <v>24</v>
      </c>
      <c r="I49" s="8"/>
      <c r="J49" s="39">
        <v>12000</v>
      </c>
      <c r="K49" s="8" t="s">
        <v>25</v>
      </c>
    </row>
    <row r="50" spans="1:27" s="1" customFormat="1" ht="15.75">
      <c r="A50" s="17"/>
      <c r="B50" s="18"/>
      <c r="C50" s="18"/>
      <c r="D50" s="18"/>
      <c r="E50" s="19"/>
      <c r="F50" s="20"/>
      <c r="H50" s="58" t="s">
        <v>52</v>
      </c>
      <c r="I50" s="58"/>
      <c r="J50" s="9">
        <v>6675</v>
      </c>
      <c r="K50" s="8" t="s">
        <v>25</v>
      </c>
    </row>
    <row r="51" spans="1:27" s="1" customFormat="1" ht="15.75">
      <c r="A51" s="2"/>
      <c r="B51" s="2"/>
      <c r="C51" s="2"/>
      <c r="D51" s="2"/>
      <c r="E51" s="2"/>
      <c r="F51" s="2"/>
      <c r="H51" s="8" t="s">
        <v>26</v>
      </c>
      <c r="I51" s="8"/>
      <c r="J51" s="40">
        <f>J50/J49</f>
        <v>0.55625000000000002</v>
      </c>
      <c r="K51" s="8" t="s">
        <v>25</v>
      </c>
    </row>
    <row r="52" spans="1:27" s="1" customFormat="1" ht="15.75">
      <c r="A52" s="2"/>
      <c r="B52" s="2"/>
      <c r="C52" s="2"/>
      <c r="D52" s="2"/>
      <c r="E52" s="2"/>
      <c r="F52" s="2"/>
      <c r="H52" s="8" t="s">
        <v>27</v>
      </c>
      <c r="I52" s="8"/>
      <c r="J52" s="40">
        <f>100%-J51</f>
        <v>0.44374999999999998</v>
      </c>
      <c r="K52" s="8" t="s">
        <v>25</v>
      </c>
    </row>
    <row r="53" spans="1:27" s="1" customFormat="1" ht="15.75">
      <c r="A53" s="2"/>
      <c r="B53" s="2"/>
      <c r="C53" s="2"/>
      <c r="D53" s="2"/>
      <c r="E53" s="2"/>
      <c r="F53" s="2"/>
      <c r="H53" s="8"/>
      <c r="I53" s="8"/>
      <c r="J53" s="40"/>
      <c r="K53" s="8"/>
    </row>
    <row r="54" spans="1:27" s="1" customFormat="1" ht="15.75">
      <c r="A54" s="2"/>
      <c r="B54" s="2"/>
      <c r="C54" s="2"/>
      <c r="D54" s="2"/>
      <c r="E54" s="2"/>
      <c r="F54" s="2"/>
      <c r="H54" s="8"/>
      <c r="I54" s="8"/>
      <c r="J54" s="40"/>
      <c r="K54" s="8"/>
    </row>
    <row r="55" spans="1:27" s="1" customFormat="1" ht="15.75">
      <c r="A55" s="2"/>
      <c r="B55" s="2"/>
      <c r="C55" s="2"/>
      <c r="D55" s="2"/>
      <c r="E55" s="2"/>
      <c r="F55" s="2"/>
      <c r="H55" s="8"/>
      <c r="I55" s="8"/>
      <c r="J55" s="40"/>
      <c r="K55" s="8"/>
    </row>
    <row r="56" spans="1:27" s="1" customFormat="1" ht="15.75">
      <c r="A56" s="2"/>
      <c r="B56" s="2"/>
      <c r="C56" s="2"/>
      <c r="D56" s="2"/>
      <c r="E56" s="2"/>
      <c r="F56" s="2"/>
      <c r="H56" s="8"/>
      <c r="I56" s="8"/>
      <c r="J56" s="40"/>
      <c r="K56" s="8"/>
    </row>
    <row r="57" spans="1:27" s="1" customFormat="1" ht="15.75">
      <c r="A57" s="2"/>
      <c r="B57" s="2"/>
      <c r="C57" s="2"/>
      <c r="D57" s="2"/>
      <c r="E57" s="2"/>
      <c r="F57" s="2"/>
      <c r="H57" s="8"/>
      <c r="I57" s="8"/>
      <c r="J57" s="40"/>
      <c r="K57" s="8"/>
    </row>
    <row r="58" spans="1:27" s="1" customFormat="1" ht="15.75">
      <c r="A58" s="2"/>
      <c r="B58" s="2"/>
      <c r="C58" s="2"/>
      <c r="D58" s="2"/>
      <c r="E58" s="2"/>
      <c r="F58" s="2"/>
      <c r="H58" s="8"/>
      <c r="I58" s="8"/>
      <c r="J58" s="40"/>
      <c r="K58" s="8"/>
    </row>
    <row r="59" spans="1:27" s="1" customFormat="1">
      <c r="A59" s="2"/>
      <c r="B59" s="2"/>
      <c r="C59" s="2"/>
      <c r="D59" s="2"/>
      <c r="E59" s="2"/>
      <c r="F59" s="2"/>
    </row>
    <row r="60" spans="1:27" s="1" customFormat="1">
      <c r="A60" s="2"/>
      <c r="B60" s="2"/>
      <c r="C60" s="2"/>
      <c r="D60" s="2"/>
      <c r="E60" s="2"/>
      <c r="F60" s="2"/>
    </row>
    <row r="61" spans="1:27" s="1" customFormat="1">
      <c r="A61" s="2"/>
      <c r="B61" s="2"/>
      <c r="C61" s="2"/>
      <c r="D61" s="2"/>
      <c r="E61" s="2"/>
      <c r="F61" s="2"/>
    </row>
    <row r="62" spans="1:27" s="1" customFormat="1">
      <c r="A62" s="2"/>
      <c r="B62" s="2"/>
      <c r="C62" s="2"/>
      <c r="D62" s="2"/>
      <c r="E62" s="2"/>
      <c r="F62" s="2"/>
    </row>
    <row r="63" spans="1:27" s="1" customFormat="1">
      <c r="A63" s="2"/>
      <c r="B63" s="2"/>
      <c r="C63" s="2"/>
      <c r="D63" s="2"/>
      <c r="E63" s="2"/>
      <c r="F63" s="2"/>
    </row>
    <row r="64" spans="1:27">
      <c r="T64" s="1"/>
      <c r="U64" s="1"/>
      <c r="V64" s="1"/>
      <c r="W64" s="1"/>
      <c r="X64" s="1"/>
      <c r="Y64" s="1"/>
      <c r="Z64" s="1"/>
      <c r="AA64" s="1"/>
    </row>
    <row r="65" spans="20:20">
      <c r="T65" s="1"/>
    </row>
    <row r="66" spans="20:20">
      <c r="T66" s="1"/>
    </row>
    <row r="67" spans="20:20">
      <c r="T67" s="1"/>
    </row>
    <row r="68" spans="20:20">
      <c r="T68" s="1"/>
    </row>
  </sheetData>
  <mergeCells count="12">
    <mergeCell ref="H50:I50"/>
    <mergeCell ref="A2:A3"/>
    <mergeCell ref="B2:C2"/>
    <mergeCell ref="D2:D3"/>
    <mergeCell ref="E2:E3"/>
    <mergeCell ref="F2:F3"/>
    <mergeCell ref="H21:I21"/>
    <mergeCell ref="A27:A28"/>
    <mergeCell ref="B27:C27"/>
    <mergeCell ref="D27:D28"/>
    <mergeCell ref="E27:E28"/>
    <mergeCell ref="F27:F28"/>
  </mergeCells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E8420-BF67-4A33-8C5B-5738BE4C7FC2}">
  <sheetPr>
    <tabColor rgb="FFCBFDC3"/>
  </sheetPr>
  <dimension ref="A1:AB28"/>
  <sheetViews>
    <sheetView zoomScale="93" zoomScaleNormal="93" workbookViewId="0">
      <pane xSplit="2" ySplit="4" topLeftCell="O11" activePane="bottomRight" state="frozen"/>
      <selection activeCell="J63" sqref="J63"/>
      <selection pane="topRight" activeCell="J63" sqref="J63"/>
      <selection pane="bottomLeft" activeCell="J63" sqref="J63"/>
      <selection pane="bottomRight" activeCell="AC6" sqref="AC6"/>
    </sheetView>
  </sheetViews>
  <sheetFormatPr defaultColWidth="9.140625" defaultRowHeight="15"/>
  <cols>
    <col min="1" max="1" width="18.5703125" customWidth="1"/>
    <col min="2" max="2" width="22.85546875" customWidth="1"/>
    <col min="3" max="5" width="10.85546875" customWidth="1"/>
    <col min="6" max="6" width="10.85546875" bestFit="1" customWidth="1"/>
    <col min="7" max="8" width="10.85546875" customWidth="1"/>
    <col min="9" max="9" width="9.7109375" customWidth="1"/>
    <col min="10" max="27" width="10.85546875" customWidth="1"/>
    <col min="28" max="28" width="11.42578125" customWidth="1"/>
  </cols>
  <sheetData>
    <row r="1" spans="1:28" ht="18.75">
      <c r="A1" s="25" t="s">
        <v>49</v>
      </c>
      <c r="B1" s="26"/>
    </row>
    <row r="2" spans="1:28" ht="15.95" customHeight="1">
      <c r="A2" s="27"/>
      <c r="B2" s="28"/>
    </row>
    <row r="3" spans="1:28" ht="18.75" customHeight="1">
      <c r="A3" s="67" t="s">
        <v>0</v>
      </c>
      <c r="B3" s="67"/>
      <c r="C3" s="29">
        <v>1</v>
      </c>
      <c r="D3" s="29">
        <v>2</v>
      </c>
      <c r="E3" s="29">
        <v>4</v>
      </c>
      <c r="F3" s="29">
        <v>6</v>
      </c>
      <c r="G3" s="29">
        <v>7</v>
      </c>
      <c r="H3" s="29">
        <v>8</v>
      </c>
      <c r="I3" s="29">
        <v>9</v>
      </c>
      <c r="J3" s="29">
        <v>10</v>
      </c>
      <c r="K3" s="29">
        <v>11</v>
      </c>
      <c r="L3" s="29">
        <v>13</v>
      </c>
      <c r="M3" s="29">
        <v>14</v>
      </c>
      <c r="N3" s="29">
        <v>15</v>
      </c>
      <c r="O3" s="29">
        <v>16</v>
      </c>
      <c r="P3" s="29">
        <v>17</v>
      </c>
      <c r="Q3" s="29">
        <v>18</v>
      </c>
      <c r="R3" s="29">
        <v>20</v>
      </c>
      <c r="S3" s="29">
        <v>21</v>
      </c>
      <c r="T3" s="29">
        <v>22</v>
      </c>
      <c r="U3" s="29">
        <v>23</v>
      </c>
      <c r="V3" s="29">
        <v>24</v>
      </c>
      <c r="W3" s="29">
        <v>25</v>
      </c>
      <c r="X3" s="29">
        <v>27</v>
      </c>
      <c r="Y3" s="29">
        <v>28</v>
      </c>
      <c r="Z3" s="29">
        <v>29</v>
      </c>
      <c r="AA3" s="29">
        <v>30</v>
      </c>
      <c r="AB3" s="34" t="s">
        <v>1</v>
      </c>
    </row>
    <row r="4" spans="1:28" ht="9" customHeight="1">
      <c r="A4" s="3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34"/>
    </row>
    <row r="5" spans="1:28" ht="18.75" customHeight="1">
      <c r="A5" s="68" t="s">
        <v>2</v>
      </c>
      <c r="B5" s="31" t="s">
        <v>3</v>
      </c>
      <c r="C5" s="49">
        <v>2700385</v>
      </c>
      <c r="D5" s="32">
        <v>1388650</v>
      </c>
      <c r="E5" s="32">
        <v>2168631</v>
      </c>
      <c r="F5" s="32">
        <v>2125800</v>
      </c>
      <c r="G5" s="32">
        <v>1669340</v>
      </c>
      <c r="H5" s="32">
        <v>1922015</v>
      </c>
      <c r="I5" s="32">
        <v>2315645</v>
      </c>
      <c r="J5" s="32">
        <v>1952395</v>
      </c>
      <c r="K5" s="32">
        <v>1827725</v>
      </c>
      <c r="L5" s="32">
        <v>2718935</v>
      </c>
      <c r="M5" s="32">
        <v>2014530</v>
      </c>
      <c r="N5" s="32">
        <v>1730515</v>
      </c>
      <c r="O5" s="32">
        <v>1782540</v>
      </c>
      <c r="P5" s="32">
        <v>2006415</v>
      </c>
      <c r="Q5" s="32">
        <v>2099420</v>
      </c>
      <c r="R5" s="32">
        <v>1795620</v>
      </c>
      <c r="S5" s="32">
        <v>1749745</v>
      </c>
      <c r="T5" s="32">
        <v>1633073</v>
      </c>
      <c r="U5" s="32">
        <v>3428473</v>
      </c>
      <c r="V5" s="32">
        <v>2921425</v>
      </c>
      <c r="W5" s="32">
        <v>3104900</v>
      </c>
      <c r="X5" s="32">
        <v>2876865</v>
      </c>
      <c r="Y5" s="32">
        <v>2674855</v>
      </c>
      <c r="Z5" s="32">
        <v>2142190</v>
      </c>
      <c r="AA5" s="32">
        <v>3288410</v>
      </c>
      <c r="AB5" s="35">
        <f>AVERAGE(C5:AA5)</f>
        <v>2241539.88</v>
      </c>
    </row>
    <row r="6" spans="1:28" ht="18.75" customHeight="1">
      <c r="A6" s="69"/>
      <c r="B6" s="31" t="s">
        <v>4</v>
      </c>
      <c r="C6" s="32">
        <v>321492</v>
      </c>
      <c r="D6" s="32">
        <v>307372</v>
      </c>
      <c r="E6" s="32">
        <v>284844</v>
      </c>
      <c r="F6" s="32">
        <v>266540</v>
      </c>
      <c r="G6" s="32">
        <v>255276</v>
      </c>
      <c r="H6" s="32">
        <v>255276</v>
      </c>
      <c r="I6" s="32">
        <v>232776</v>
      </c>
      <c r="J6" s="32">
        <v>220096</v>
      </c>
      <c r="K6" s="32">
        <v>245233</v>
      </c>
      <c r="L6" s="32">
        <v>225513</v>
      </c>
      <c r="M6" s="32">
        <v>505835</v>
      </c>
      <c r="N6" s="32">
        <v>500199</v>
      </c>
      <c r="O6" s="32">
        <v>500199</v>
      </c>
      <c r="P6" s="32">
        <v>488907</v>
      </c>
      <c r="Q6" s="32">
        <v>479057</v>
      </c>
      <c r="R6" s="32">
        <v>457989</v>
      </c>
      <c r="S6" s="32">
        <v>445299</v>
      </c>
      <c r="T6" s="32">
        <v>431191</v>
      </c>
      <c r="U6" s="32">
        <v>422733</v>
      </c>
      <c r="V6" s="32">
        <v>414277</v>
      </c>
      <c r="W6" s="32">
        <v>404397</v>
      </c>
      <c r="X6" s="32">
        <v>380391</v>
      </c>
      <c r="Y6" s="32">
        <v>364901</v>
      </c>
      <c r="Z6" s="32">
        <v>357897</v>
      </c>
      <c r="AA6" s="32">
        <v>342417</v>
      </c>
      <c r="AB6" s="35">
        <f t="shared" ref="AB6:AB25" si="0">AVERAGE(C6:AA6)</f>
        <v>364404.28</v>
      </c>
    </row>
    <row r="7" spans="1:28" ht="18.75" customHeight="1">
      <c r="A7" s="69"/>
      <c r="B7" s="31" t="s">
        <v>5</v>
      </c>
      <c r="C7" s="32">
        <v>494284</v>
      </c>
      <c r="D7" s="32">
        <v>483235</v>
      </c>
      <c r="E7" s="32">
        <v>472173</v>
      </c>
      <c r="F7" s="32">
        <v>454473</v>
      </c>
      <c r="G7" s="32">
        <v>446722</v>
      </c>
      <c r="H7" s="32">
        <v>446722</v>
      </c>
      <c r="I7" s="32">
        <v>431264</v>
      </c>
      <c r="J7" s="32">
        <v>426842</v>
      </c>
      <c r="K7" s="32">
        <v>413586</v>
      </c>
      <c r="L7" s="32">
        <v>403631</v>
      </c>
      <c r="M7" s="32">
        <v>396997</v>
      </c>
      <c r="N7" s="32">
        <v>390359</v>
      </c>
      <c r="O7" s="32">
        <v>390359</v>
      </c>
      <c r="P7" s="32">
        <v>385932</v>
      </c>
      <c r="Q7" s="32">
        <v>375971</v>
      </c>
      <c r="R7" s="32">
        <v>367130</v>
      </c>
      <c r="S7" s="32">
        <v>360513</v>
      </c>
      <c r="T7" s="32">
        <v>349437</v>
      </c>
      <c r="U7" s="32">
        <v>494953</v>
      </c>
      <c r="V7" s="32">
        <v>488326</v>
      </c>
      <c r="W7" s="32">
        <v>481699</v>
      </c>
      <c r="X7" s="32">
        <v>542516</v>
      </c>
      <c r="Y7" s="32">
        <v>533676</v>
      </c>
      <c r="Z7" s="32">
        <v>527039</v>
      </c>
      <c r="AA7" s="32">
        <v>515966</v>
      </c>
      <c r="AB7" s="35">
        <f t="shared" si="0"/>
        <v>442952.2</v>
      </c>
    </row>
    <row r="8" spans="1:28" ht="18.75" customHeight="1">
      <c r="A8" s="69"/>
      <c r="B8" s="31" t="s">
        <v>6</v>
      </c>
      <c r="C8" s="32">
        <v>6000</v>
      </c>
      <c r="D8" s="32">
        <v>3600</v>
      </c>
      <c r="E8" s="32">
        <v>3600</v>
      </c>
      <c r="F8" s="32">
        <v>3600</v>
      </c>
      <c r="G8" s="32">
        <v>3600</v>
      </c>
      <c r="H8" s="32">
        <v>3600</v>
      </c>
      <c r="I8" s="32">
        <v>4800</v>
      </c>
      <c r="J8" s="32">
        <v>4800</v>
      </c>
      <c r="K8" s="32">
        <v>4800</v>
      </c>
      <c r="L8" s="32">
        <v>4800</v>
      </c>
      <c r="M8" s="32">
        <v>2400</v>
      </c>
      <c r="N8" s="32">
        <v>390359</v>
      </c>
      <c r="O8" s="32">
        <v>2400</v>
      </c>
      <c r="P8" s="32">
        <v>2400</v>
      </c>
      <c r="Q8" s="32">
        <v>2400</v>
      </c>
      <c r="R8" s="32">
        <v>2400</v>
      </c>
      <c r="S8" s="32">
        <v>2400</v>
      </c>
      <c r="T8" s="32">
        <v>2400</v>
      </c>
      <c r="U8" s="32">
        <v>3600</v>
      </c>
      <c r="V8" s="32">
        <v>3600</v>
      </c>
      <c r="W8" s="32">
        <v>3600</v>
      </c>
      <c r="X8" s="32">
        <v>3600</v>
      </c>
      <c r="Y8" s="32">
        <v>7200</v>
      </c>
      <c r="Z8" s="32">
        <v>7200</v>
      </c>
      <c r="AA8" s="32">
        <v>3600</v>
      </c>
      <c r="AB8" s="35">
        <f t="shared" si="0"/>
        <v>19310.36</v>
      </c>
    </row>
    <row r="9" spans="1:28" ht="18.75" customHeight="1">
      <c r="A9" s="69"/>
      <c r="B9" s="31" t="s">
        <v>7</v>
      </c>
      <c r="C9" s="32">
        <v>32238</v>
      </c>
      <c r="D9" s="32">
        <v>32088</v>
      </c>
      <c r="E9" s="32">
        <v>28088</v>
      </c>
      <c r="F9" s="32">
        <v>23088</v>
      </c>
      <c r="G9" s="32">
        <v>20488</v>
      </c>
      <c r="H9" s="32">
        <v>20488</v>
      </c>
      <c r="I9" s="32">
        <v>19488</v>
      </c>
      <c r="J9" s="32">
        <v>16270</v>
      </c>
      <c r="K9" s="32">
        <v>16120</v>
      </c>
      <c r="L9" s="32">
        <v>8120</v>
      </c>
      <c r="M9" s="32">
        <v>8120</v>
      </c>
      <c r="N9" s="32">
        <v>8120</v>
      </c>
      <c r="O9" s="32">
        <v>18120</v>
      </c>
      <c r="P9" s="32">
        <v>18120</v>
      </c>
      <c r="Q9" s="32">
        <v>12820</v>
      </c>
      <c r="R9" s="32">
        <v>12820</v>
      </c>
      <c r="S9" s="32">
        <v>9370</v>
      </c>
      <c r="T9" s="32">
        <v>8130</v>
      </c>
      <c r="U9" s="32">
        <v>15130</v>
      </c>
      <c r="V9" s="32">
        <v>15130</v>
      </c>
      <c r="W9" s="32">
        <v>12130</v>
      </c>
      <c r="X9" s="32">
        <v>9010</v>
      </c>
      <c r="Y9" s="32">
        <v>23010</v>
      </c>
      <c r="Z9" s="32">
        <v>21010</v>
      </c>
      <c r="AA9" s="32">
        <v>20010</v>
      </c>
      <c r="AB9" s="35">
        <f t="shared" si="0"/>
        <v>17101.04</v>
      </c>
    </row>
    <row r="10" spans="1:28" ht="18.75" customHeight="1">
      <c r="A10" s="69"/>
      <c r="B10" s="45" t="s">
        <v>29</v>
      </c>
      <c r="C10" s="44">
        <v>239141</v>
      </c>
      <c r="D10" s="44">
        <v>228767</v>
      </c>
      <c r="E10" s="44">
        <v>161813</v>
      </c>
      <c r="F10" s="44">
        <v>277723</v>
      </c>
      <c r="G10" s="44">
        <v>262261</v>
      </c>
      <c r="H10" s="44">
        <v>243208</v>
      </c>
      <c r="I10" s="44">
        <v>252258</v>
      </c>
      <c r="J10" s="44">
        <v>268241</v>
      </c>
      <c r="K10" s="44">
        <v>217713</v>
      </c>
      <c r="L10" s="44">
        <v>287083</v>
      </c>
      <c r="M10" s="44">
        <v>110343</v>
      </c>
      <c r="N10" s="44">
        <v>285199</v>
      </c>
      <c r="O10" s="44">
        <v>284522</v>
      </c>
      <c r="P10" s="44">
        <v>395094</v>
      </c>
      <c r="Q10" s="44">
        <v>313944</v>
      </c>
      <c r="R10" s="44">
        <v>303136</v>
      </c>
      <c r="S10" s="44">
        <v>441327</v>
      </c>
      <c r="T10" s="44">
        <v>506473</v>
      </c>
      <c r="U10" s="44">
        <v>354481</v>
      </c>
      <c r="V10" s="44">
        <v>351643</v>
      </c>
      <c r="W10" s="44">
        <v>380227</v>
      </c>
      <c r="X10" s="44">
        <v>382478</v>
      </c>
      <c r="Y10" s="44">
        <v>264063</v>
      </c>
      <c r="Z10" s="44">
        <v>319293</v>
      </c>
      <c r="AA10" s="44">
        <v>322992</v>
      </c>
      <c r="AB10" s="35">
        <f t="shared" si="0"/>
        <v>298136.92</v>
      </c>
    </row>
    <row r="11" spans="1:28" ht="18.75" customHeight="1">
      <c r="A11" s="69"/>
      <c r="B11" s="45" t="s">
        <v>32</v>
      </c>
      <c r="C11" s="44">
        <v>25753</v>
      </c>
      <c r="D11" s="44">
        <v>17605</v>
      </c>
      <c r="E11" s="44">
        <v>15435</v>
      </c>
      <c r="F11" s="44">
        <v>15435</v>
      </c>
      <c r="G11" s="44">
        <v>15435</v>
      </c>
      <c r="H11" s="44">
        <v>31965</v>
      </c>
      <c r="I11" s="44">
        <v>295</v>
      </c>
      <c r="J11" s="44">
        <v>295</v>
      </c>
      <c r="K11" s="44">
        <v>770</v>
      </c>
      <c r="L11" s="44">
        <v>770</v>
      </c>
      <c r="M11" s="44">
        <v>770</v>
      </c>
      <c r="N11" s="44">
        <v>770</v>
      </c>
      <c r="O11" s="44">
        <v>770</v>
      </c>
      <c r="P11" s="44">
        <v>770</v>
      </c>
      <c r="Q11" s="44">
        <v>21090</v>
      </c>
      <c r="R11" s="44">
        <v>37940</v>
      </c>
      <c r="S11" s="44">
        <v>37940</v>
      </c>
      <c r="T11" s="44">
        <v>94420</v>
      </c>
      <c r="U11" s="44">
        <v>74100</v>
      </c>
      <c r="V11" s="44">
        <v>155450</v>
      </c>
      <c r="W11" s="44">
        <v>248610</v>
      </c>
      <c r="X11" s="44">
        <v>219890</v>
      </c>
      <c r="Y11" s="44">
        <v>219890</v>
      </c>
      <c r="Z11" s="44">
        <v>219890</v>
      </c>
      <c r="AA11" s="44">
        <v>219890</v>
      </c>
      <c r="AB11" s="35">
        <f t="shared" si="0"/>
        <v>67037.919999999998</v>
      </c>
    </row>
    <row r="12" spans="1:28" ht="18.75" customHeight="1">
      <c r="A12" s="70" t="s">
        <v>8</v>
      </c>
      <c r="B12" s="31" t="s">
        <v>9</v>
      </c>
      <c r="C12" s="32">
        <v>2246144</v>
      </c>
      <c r="D12" s="32">
        <v>2623723</v>
      </c>
      <c r="E12" s="32">
        <v>2541392</v>
      </c>
      <c r="F12" s="32">
        <v>3606571</v>
      </c>
      <c r="G12" s="32">
        <v>3310859</v>
      </c>
      <c r="H12" s="32">
        <v>3102402</v>
      </c>
      <c r="I12" s="32">
        <v>3095317</v>
      </c>
      <c r="J12" s="32">
        <v>3658549</v>
      </c>
      <c r="K12" s="32">
        <v>3551964</v>
      </c>
      <c r="L12" s="32">
        <v>3975457</v>
      </c>
      <c r="M12" s="32">
        <v>3423923</v>
      </c>
      <c r="N12" s="32">
        <v>2949266</v>
      </c>
      <c r="O12" s="32">
        <v>2476209</v>
      </c>
      <c r="P12" s="32">
        <v>2005151</v>
      </c>
      <c r="Q12" s="32">
        <v>1804009</v>
      </c>
      <c r="R12" s="32">
        <v>2643449</v>
      </c>
      <c r="S12" s="32">
        <v>2664620</v>
      </c>
      <c r="T12" s="32">
        <v>2453160</v>
      </c>
      <c r="U12" s="32">
        <v>2451048</v>
      </c>
      <c r="V12" s="32">
        <v>2417047</v>
      </c>
      <c r="W12" s="32">
        <v>2672659</v>
      </c>
      <c r="X12" s="32">
        <v>2351438</v>
      </c>
      <c r="Y12" s="32">
        <v>2284109</v>
      </c>
      <c r="Z12" s="32">
        <v>2008945</v>
      </c>
      <c r="AA12" s="32">
        <v>1818462</v>
      </c>
      <c r="AB12" s="35">
        <f t="shared" si="0"/>
        <v>2725434.92</v>
      </c>
    </row>
    <row r="13" spans="1:28" ht="18.75" customHeight="1">
      <c r="A13" s="71"/>
      <c r="B13" s="31" t="s">
        <v>33</v>
      </c>
      <c r="C13" s="32">
        <v>259676</v>
      </c>
      <c r="D13" s="32">
        <v>259676</v>
      </c>
      <c r="E13" s="32">
        <v>275960</v>
      </c>
      <c r="F13" s="32">
        <v>275960</v>
      </c>
      <c r="G13" s="32">
        <v>259676</v>
      </c>
      <c r="H13" s="32">
        <v>264248</v>
      </c>
      <c r="I13" s="32">
        <v>279992</v>
      </c>
      <c r="J13" s="32">
        <v>240019</v>
      </c>
      <c r="K13" s="32">
        <v>283511</v>
      </c>
      <c r="L13" s="32">
        <v>278094</v>
      </c>
      <c r="M13" s="32">
        <v>345302</v>
      </c>
      <c r="N13" s="32">
        <v>331315</v>
      </c>
      <c r="O13" s="32">
        <v>318870</v>
      </c>
      <c r="P13" s="32">
        <v>209172</v>
      </c>
      <c r="Q13" s="32">
        <v>233650</v>
      </c>
      <c r="R13" s="32">
        <v>382141</v>
      </c>
      <c r="S13" s="32">
        <v>361936</v>
      </c>
      <c r="T13" s="32">
        <v>327603</v>
      </c>
      <c r="U13" s="32">
        <v>347279</v>
      </c>
      <c r="V13" s="32">
        <v>367925</v>
      </c>
      <c r="W13" s="32">
        <v>386935</v>
      </c>
      <c r="X13" s="32">
        <v>497582</v>
      </c>
      <c r="Y13" s="32">
        <v>497582</v>
      </c>
      <c r="Z13" s="32">
        <v>477486</v>
      </c>
      <c r="AA13" s="32">
        <v>445587</v>
      </c>
      <c r="AB13" s="35">
        <f t="shared" si="0"/>
        <v>328287.08</v>
      </c>
    </row>
    <row r="14" spans="1:28" ht="18.75" customHeight="1">
      <c r="A14" s="71"/>
      <c r="B14" s="31" t="s">
        <v>34</v>
      </c>
      <c r="C14" s="32">
        <v>21353</v>
      </c>
      <c r="D14" s="32">
        <v>51691</v>
      </c>
      <c r="E14" s="32">
        <v>51691</v>
      </c>
      <c r="F14" s="32">
        <v>51709</v>
      </c>
      <c r="G14" s="32">
        <v>51709</v>
      </c>
      <c r="H14" s="32">
        <v>80818</v>
      </c>
      <c r="I14" s="32">
        <v>80818</v>
      </c>
      <c r="J14" s="32">
        <v>80818</v>
      </c>
      <c r="K14" s="32">
        <v>80818</v>
      </c>
      <c r="L14" s="32">
        <v>80818</v>
      </c>
      <c r="M14" s="32">
        <v>80818</v>
      </c>
      <c r="N14" s="32">
        <v>50629</v>
      </c>
      <c r="O14" s="32">
        <v>50629</v>
      </c>
      <c r="P14" s="32">
        <v>50629</v>
      </c>
      <c r="Q14" s="32">
        <v>50629</v>
      </c>
      <c r="R14" s="32">
        <v>50629</v>
      </c>
      <c r="S14" s="32">
        <v>50629</v>
      </c>
      <c r="T14" s="32">
        <v>50629</v>
      </c>
      <c r="U14" s="32">
        <v>50629</v>
      </c>
      <c r="V14" s="32">
        <v>47990</v>
      </c>
      <c r="W14" s="32">
        <v>47990</v>
      </c>
      <c r="X14" s="32">
        <v>47990</v>
      </c>
      <c r="Y14" s="32">
        <v>67362</v>
      </c>
      <c r="Z14" s="32">
        <v>67362</v>
      </c>
      <c r="AA14" s="32">
        <v>63001</v>
      </c>
      <c r="AB14" s="35">
        <f t="shared" si="0"/>
        <v>58391.519999999997</v>
      </c>
    </row>
    <row r="15" spans="1:28" ht="18.75" customHeight="1">
      <c r="A15" s="71"/>
      <c r="B15" s="31" t="s">
        <v>35</v>
      </c>
      <c r="C15" s="32">
        <v>418066</v>
      </c>
      <c r="D15" s="32">
        <v>389799</v>
      </c>
      <c r="E15" s="32">
        <v>389799</v>
      </c>
      <c r="F15" s="32">
        <v>389799</v>
      </c>
      <c r="G15" s="32">
        <v>358620</v>
      </c>
      <c r="H15" s="32">
        <v>358620</v>
      </c>
      <c r="I15" s="32">
        <v>371255</v>
      </c>
      <c r="J15" s="32">
        <v>375252</v>
      </c>
      <c r="K15" s="32">
        <v>374777</v>
      </c>
      <c r="L15" s="32">
        <v>374777</v>
      </c>
      <c r="M15" s="32">
        <v>386776</v>
      </c>
      <c r="N15" s="32">
        <v>380808</v>
      </c>
      <c r="O15" s="32">
        <v>380808</v>
      </c>
      <c r="P15" s="32">
        <v>380808</v>
      </c>
      <c r="Q15" s="32">
        <v>380808</v>
      </c>
      <c r="R15" s="32">
        <v>380808</v>
      </c>
      <c r="S15" s="32">
        <v>380715</v>
      </c>
      <c r="T15" s="32">
        <v>380715</v>
      </c>
      <c r="U15" s="32">
        <v>375393</v>
      </c>
      <c r="V15" s="32">
        <v>375393</v>
      </c>
      <c r="W15" s="32">
        <v>360880</v>
      </c>
      <c r="X15" s="32">
        <v>360880</v>
      </c>
      <c r="Y15" s="32">
        <v>360880</v>
      </c>
      <c r="Z15" s="32">
        <v>336947</v>
      </c>
      <c r="AA15" s="32">
        <v>334252</v>
      </c>
      <c r="AB15" s="35">
        <f t="shared" si="0"/>
        <v>374305.4</v>
      </c>
    </row>
    <row r="16" spans="1:28" ht="18.75" customHeight="1">
      <c r="A16" s="71"/>
      <c r="B16" s="31" t="s">
        <v>37</v>
      </c>
      <c r="C16" s="32">
        <v>961087</v>
      </c>
      <c r="D16" s="32">
        <v>1079289</v>
      </c>
      <c r="E16" s="32">
        <v>1079289</v>
      </c>
      <c r="F16" s="32">
        <v>1079289</v>
      </c>
      <c r="G16" s="32">
        <v>1079289</v>
      </c>
      <c r="H16" s="32">
        <v>1274649</v>
      </c>
      <c r="I16" s="32">
        <v>1274649</v>
      </c>
      <c r="J16" s="32">
        <v>1387406</v>
      </c>
      <c r="K16" s="32">
        <v>1387406</v>
      </c>
      <c r="L16" s="32">
        <v>1387406</v>
      </c>
      <c r="M16" s="32">
        <v>1372881</v>
      </c>
      <c r="N16" s="32">
        <v>1372881</v>
      </c>
      <c r="O16" s="32">
        <v>1372881</v>
      </c>
      <c r="P16" s="32">
        <v>1372881</v>
      </c>
      <c r="Q16" s="32">
        <v>1372881</v>
      </c>
      <c r="R16" s="32">
        <v>1372881</v>
      </c>
      <c r="S16" s="32">
        <v>1372881</v>
      </c>
      <c r="T16" s="32">
        <v>1372881</v>
      </c>
      <c r="U16" s="32">
        <v>1358450</v>
      </c>
      <c r="V16" s="32">
        <v>1358450</v>
      </c>
      <c r="W16" s="32">
        <v>1515741</v>
      </c>
      <c r="X16" s="32">
        <v>1515741</v>
      </c>
      <c r="Y16" s="32">
        <v>1482803</v>
      </c>
      <c r="Z16" s="32">
        <v>1482803</v>
      </c>
      <c r="AA16" s="32">
        <v>1482803</v>
      </c>
      <c r="AB16" s="35">
        <f t="shared" si="0"/>
        <v>1326783.92</v>
      </c>
    </row>
    <row r="17" spans="1:28" ht="18.75" customHeight="1">
      <c r="A17" s="71"/>
      <c r="B17" s="47" t="s">
        <v>36</v>
      </c>
      <c r="C17" s="32">
        <v>1736419</v>
      </c>
      <c r="D17" s="32">
        <v>1495946</v>
      </c>
      <c r="E17" s="32">
        <v>1495946</v>
      </c>
      <c r="F17" s="32">
        <v>1495946</v>
      </c>
      <c r="G17" s="32">
        <v>1495946</v>
      </c>
      <c r="H17" s="32">
        <v>1495946</v>
      </c>
      <c r="I17" s="32">
        <v>1495946</v>
      </c>
      <c r="J17" s="32">
        <v>844413</v>
      </c>
      <c r="K17" s="32">
        <v>844413</v>
      </c>
      <c r="L17" s="32">
        <v>812219</v>
      </c>
      <c r="M17" s="32">
        <v>866362</v>
      </c>
      <c r="N17" s="32">
        <v>866362</v>
      </c>
      <c r="O17" s="32">
        <v>829094</v>
      </c>
      <c r="P17" s="32">
        <v>829094</v>
      </c>
      <c r="Q17" s="32">
        <v>719878</v>
      </c>
      <c r="R17" s="32">
        <v>719878</v>
      </c>
      <c r="S17" s="32">
        <v>719878</v>
      </c>
      <c r="T17" s="32">
        <v>719878</v>
      </c>
      <c r="U17" s="32">
        <v>719878</v>
      </c>
      <c r="V17" s="32">
        <v>952060</v>
      </c>
      <c r="W17" s="32">
        <v>1221171</v>
      </c>
      <c r="X17" s="32">
        <v>1473455</v>
      </c>
      <c r="Y17" s="32">
        <v>1473455</v>
      </c>
      <c r="Z17" s="32">
        <v>1473455</v>
      </c>
      <c r="AA17" s="32">
        <v>1473455</v>
      </c>
      <c r="AB17" s="35">
        <f t="shared" si="0"/>
        <v>1130819.72</v>
      </c>
    </row>
    <row r="18" spans="1:28" ht="18.75" customHeight="1">
      <c r="A18" s="71"/>
      <c r="B18" s="31" t="s">
        <v>10</v>
      </c>
      <c r="C18" s="32">
        <v>729785</v>
      </c>
      <c r="D18" s="32">
        <v>729785</v>
      </c>
      <c r="E18" s="32">
        <v>729785</v>
      </c>
      <c r="F18" s="32">
        <v>729785</v>
      </c>
      <c r="G18" s="32">
        <v>725785</v>
      </c>
      <c r="H18" s="32">
        <v>725785</v>
      </c>
      <c r="I18" s="32">
        <v>729195</v>
      </c>
      <c r="J18" s="32">
        <v>729195</v>
      </c>
      <c r="K18" s="32">
        <v>729195</v>
      </c>
      <c r="L18" s="32">
        <v>729195</v>
      </c>
      <c r="M18" s="32">
        <v>723781</v>
      </c>
      <c r="N18" s="32">
        <v>723781</v>
      </c>
      <c r="O18" s="32">
        <v>723781</v>
      </c>
      <c r="P18" s="32">
        <v>723781</v>
      </c>
      <c r="Q18" s="32">
        <v>723781</v>
      </c>
      <c r="R18" s="32">
        <v>723781</v>
      </c>
      <c r="S18" s="32">
        <v>723781</v>
      </c>
      <c r="T18" s="32">
        <v>723781</v>
      </c>
      <c r="U18" s="32">
        <v>767840</v>
      </c>
      <c r="V18" s="32">
        <v>767840</v>
      </c>
      <c r="W18" s="32">
        <v>763550</v>
      </c>
      <c r="X18" s="32">
        <v>763550</v>
      </c>
      <c r="Y18" s="32">
        <v>763550</v>
      </c>
      <c r="Z18" s="32">
        <v>763550</v>
      </c>
      <c r="AA18" s="32">
        <v>730319</v>
      </c>
      <c r="AB18" s="35">
        <f t="shared" si="0"/>
        <v>735917.48</v>
      </c>
    </row>
    <row r="19" spans="1:28" ht="18.75" customHeight="1">
      <c r="A19" s="71"/>
      <c r="B19" s="31" t="s">
        <v>11</v>
      </c>
      <c r="C19" s="32">
        <v>165280</v>
      </c>
      <c r="D19" s="32">
        <v>165280</v>
      </c>
      <c r="E19" s="32">
        <v>165280</v>
      </c>
      <c r="F19" s="32">
        <v>165280</v>
      </c>
      <c r="G19" s="32">
        <v>176102</v>
      </c>
      <c r="H19" s="32">
        <v>176102</v>
      </c>
      <c r="I19" s="32">
        <v>176102</v>
      </c>
      <c r="J19" s="32">
        <v>176102</v>
      </c>
      <c r="K19" s="32">
        <v>176102</v>
      </c>
      <c r="L19" s="32">
        <v>176102</v>
      </c>
      <c r="M19" s="32">
        <v>159344</v>
      </c>
      <c r="N19" s="32">
        <v>159344</v>
      </c>
      <c r="O19" s="32">
        <v>159344</v>
      </c>
      <c r="P19" s="32">
        <v>159344</v>
      </c>
      <c r="Q19" s="32">
        <v>159344</v>
      </c>
      <c r="R19" s="32">
        <v>159344</v>
      </c>
      <c r="S19" s="32">
        <v>159344</v>
      </c>
      <c r="T19" s="32">
        <v>159344</v>
      </c>
      <c r="U19" s="32">
        <v>209072</v>
      </c>
      <c r="V19" s="32">
        <v>209072</v>
      </c>
      <c r="W19" s="32">
        <v>212073</v>
      </c>
      <c r="X19" s="32">
        <v>212073</v>
      </c>
      <c r="Y19" s="32">
        <v>212073</v>
      </c>
      <c r="Z19" s="32">
        <v>212073</v>
      </c>
      <c r="AA19" s="32">
        <v>204364</v>
      </c>
      <c r="AB19" s="35">
        <f t="shared" si="0"/>
        <v>178531.36</v>
      </c>
    </row>
    <row r="20" spans="1:28" ht="18.75" customHeight="1">
      <c r="A20" s="71"/>
      <c r="B20" s="31" t="s">
        <v>12</v>
      </c>
      <c r="C20" s="32">
        <v>872707</v>
      </c>
      <c r="D20" s="32">
        <v>834350</v>
      </c>
      <c r="E20" s="32">
        <v>939203</v>
      </c>
      <c r="F20" s="32">
        <v>938723</v>
      </c>
      <c r="G20" s="32">
        <v>1026200</v>
      </c>
      <c r="H20" s="32">
        <v>1127482</v>
      </c>
      <c r="I20" s="32">
        <v>1244352</v>
      </c>
      <c r="J20" s="32">
        <v>1358141</v>
      </c>
      <c r="K20" s="32">
        <v>1547541</v>
      </c>
      <c r="L20" s="32">
        <v>1549139</v>
      </c>
      <c r="M20" s="32">
        <v>1665836</v>
      </c>
      <c r="N20" s="32">
        <v>1758332</v>
      </c>
      <c r="O20" s="32">
        <v>1889970</v>
      </c>
      <c r="P20" s="32">
        <v>1821315</v>
      </c>
      <c r="Q20" s="32">
        <v>1836375</v>
      </c>
      <c r="R20" s="32">
        <v>1905626</v>
      </c>
      <c r="S20" s="32">
        <v>1935575</v>
      </c>
      <c r="T20" s="32">
        <v>1942841</v>
      </c>
      <c r="U20" s="32">
        <v>1933516</v>
      </c>
      <c r="V20" s="32">
        <v>2035385</v>
      </c>
      <c r="W20" s="32">
        <v>2012355</v>
      </c>
      <c r="X20" s="32">
        <v>1866759</v>
      </c>
      <c r="Y20" s="32">
        <v>1823578</v>
      </c>
      <c r="Z20" s="32">
        <v>1716921</v>
      </c>
      <c r="AA20" s="32">
        <v>1555580</v>
      </c>
      <c r="AB20" s="35">
        <f t="shared" si="0"/>
        <v>1565512.08</v>
      </c>
    </row>
    <row r="21" spans="1:28" ht="18.75" customHeight="1">
      <c r="A21" s="71"/>
      <c r="B21" s="45" t="s">
        <v>29</v>
      </c>
      <c r="C21" s="44">
        <v>276649</v>
      </c>
      <c r="D21" s="44">
        <v>314578</v>
      </c>
      <c r="E21" s="44">
        <v>512238</v>
      </c>
      <c r="F21" s="44">
        <v>736888</v>
      </c>
      <c r="G21" s="44">
        <v>762318</v>
      </c>
      <c r="H21" s="44">
        <v>990659</v>
      </c>
      <c r="I21" s="44">
        <v>768186</v>
      </c>
      <c r="J21" s="44">
        <v>619963</v>
      </c>
      <c r="K21" s="44">
        <v>623581</v>
      </c>
      <c r="L21" s="44">
        <v>1080788</v>
      </c>
      <c r="M21" s="44">
        <v>1088320</v>
      </c>
      <c r="N21" s="44">
        <v>855849</v>
      </c>
      <c r="O21" s="44">
        <v>613124</v>
      </c>
      <c r="P21" s="44">
        <v>518214</v>
      </c>
      <c r="Q21" s="44">
        <v>550454</v>
      </c>
      <c r="R21" s="44">
        <v>507530</v>
      </c>
      <c r="S21" s="44">
        <v>362250</v>
      </c>
      <c r="T21" s="44">
        <v>454475</v>
      </c>
      <c r="U21" s="44">
        <v>567438</v>
      </c>
      <c r="V21" s="44">
        <v>552398</v>
      </c>
      <c r="W21" s="44">
        <v>395911</v>
      </c>
      <c r="X21" s="44">
        <v>1216499</v>
      </c>
      <c r="Y21" s="44">
        <v>1327902</v>
      </c>
      <c r="Z21" s="44">
        <v>1372866</v>
      </c>
      <c r="AA21" s="44">
        <v>1278609</v>
      </c>
      <c r="AB21" s="35">
        <f t="shared" si="0"/>
        <v>733907.48</v>
      </c>
    </row>
    <row r="22" spans="1:28" ht="18.75" customHeight="1">
      <c r="A22" s="71"/>
      <c r="B22" s="45" t="s">
        <v>32</v>
      </c>
      <c r="C22" s="44">
        <v>126717</v>
      </c>
      <c r="D22" s="44">
        <v>150161</v>
      </c>
      <c r="E22" s="44">
        <v>146538</v>
      </c>
      <c r="F22" s="44">
        <v>128105</v>
      </c>
      <c r="G22" s="44">
        <v>132543</v>
      </c>
      <c r="H22" s="44">
        <v>196828</v>
      </c>
      <c r="I22" s="44">
        <v>125398</v>
      </c>
      <c r="J22" s="44">
        <v>123974</v>
      </c>
      <c r="K22" s="44">
        <v>121693</v>
      </c>
      <c r="L22" s="44">
        <v>121627</v>
      </c>
      <c r="M22" s="44">
        <v>110518</v>
      </c>
      <c r="N22" s="44">
        <v>87845</v>
      </c>
      <c r="O22" s="44">
        <v>87845</v>
      </c>
      <c r="P22" s="44">
        <v>87405</v>
      </c>
      <c r="Q22" s="44">
        <v>97670</v>
      </c>
      <c r="R22" s="44">
        <v>105727</v>
      </c>
      <c r="S22" s="44">
        <v>102223</v>
      </c>
      <c r="T22" s="44">
        <v>111180</v>
      </c>
      <c r="U22" s="44">
        <v>89845</v>
      </c>
      <c r="V22" s="44">
        <v>103675</v>
      </c>
      <c r="W22" s="44">
        <v>103675</v>
      </c>
      <c r="X22" s="44">
        <v>107484</v>
      </c>
      <c r="Y22" s="44">
        <v>112610</v>
      </c>
      <c r="Z22" s="44">
        <v>104167</v>
      </c>
      <c r="AA22" s="44">
        <v>128222</v>
      </c>
      <c r="AB22" s="35">
        <f t="shared" si="0"/>
        <v>116547</v>
      </c>
    </row>
    <row r="23" spans="1:28" ht="18.75" customHeight="1">
      <c r="A23" s="72"/>
      <c r="B23" s="31" t="s">
        <v>14</v>
      </c>
      <c r="C23" s="49">
        <v>239029</v>
      </c>
      <c r="D23" s="32">
        <v>239029</v>
      </c>
      <c r="E23" s="32">
        <v>244283</v>
      </c>
      <c r="F23" s="32">
        <v>246771</v>
      </c>
      <c r="G23" s="32">
        <v>249345</v>
      </c>
      <c r="H23" s="32">
        <v>249747</v>
      </c>
      <c r="I23" s="32">
        <v>249747</v>
      </c>
      <c r="J23" s="32">
        <v>249747</v>
      </c>
      <c r="K23" s="32">
        <v>249747</v>
      </c>
      <c r="L23" s="32">
        <v>249747</v>
      </c>
      <c r="M23" s="32">
        <v>250370</v>
      </c>
      <c r="N23" s="32">
        <v>250370</v>
      </c>
      <c r="O23" s="32">
        <v>250370</v>
      </c>
      <c r="P23" s="32">
        <v>253262</v>
      </c>
      <c r="Q23" s="32">
        <v>253262</v>
      </c>
      <c r="R23" s="32">
        <v>256814</v>
      </c>
      <c r="S23" s="32">
        <v>256814</v>
      </c>
      <c r="T23" s="32">
        <v>256814</v>
      </c>
      <c r="U23" s="32">
        <v>256854</v>
      </c>
      <c r="V23" s="32">
        <v>256854</v>
      </c>
      <c r="W23" s="32">
        <v>256854</v>
      </c>
      <c r="X23" s="32">
        <v>260669</v>
      </c>
      <c r="Y23" s="32">
        <v>260669</v>
      </c>
      <c r="Z23" s="32">
        <v>260669</v>
      </c>
      <c r="AA23" s="32">
        <v>260669</v>
      </c>
      <c r="AB23" s="35">
        <f t="shared" si="0"/>
        <v>252340.24</v>
      </c>
    </row>
    <row r="24" spans="1:28" ht="18.75" customHeight="1">
      <c r="A24" s="73" t="s">
        <v>13</v>
      </c>
      <c r="B24" s="31" t="s">
        <v>15</v>
      </c>
      <c r="C24" s="32">
        <v>1144</v>
      </c>
      <c r="D24" s="32">
        <v>1728</v>
      </c>
      <c r="E24" s="32">
        <v>1728</v>
      </c>
      <c r="F24" s="32">
        <v>2296.5</v>
      </c>
      <c r="G24" s="32">
        <v>2846</v>
      </c>
      <c r="H24" s="32">
        <v>2846</v>
      </c>
      <c r="I24" s="32">
        <v>2846</v>
      </c>
      <c r="J24" s="32">
        <v>3512</v>
      </c>
      <c r="K24" s="32">
        <v>3512</v>
      </c>
      <c r="L24" s="32">
        <v>4187</v>
      </c>
      <c r="M24" s="32">
        <v>5039</v>
      </c>
      <c r="N24" s="32">
        <v>5039</v>
      </c>
      <c r="O24" s="32">
        <v>5039</v>
      </c>
      <c r="P24" s="32">
        <v>1670.5</v>
      </c>
      <c r="Q24" s="32">
        <v>1670.5</v>
      </c>
      <c r="R24" s="32">
        <v>2821</v>
      </c>
      <c r="S24" s="32">
        <v>2821</v>
      </c>
      <c r="T24" s="32">
        <v>3405.5</v>
      </c>
      <c r="U24" s="32">
        <v>3405.5</v>
      </c>
      <c r="V24" s="32">
        <v>3405.5</v>
      </c>
      <c r="W24" s="32">
        <v>3676.5</v>
      </c>
      <c r="X24" s="32">
        <v>3676.5</v>
      </c>
      <c r="Y24" s="32">
        <v>4940</v>
      </c>
      <c r="Z24" s="32">
        <v>5565</v>
      </c>
      <c r="AA24" s="32">
        <v>5565</v>
      </c>
      <c r="AB24" s="35">
        <f t="shared" si="0"/>
        <v>3375.4</v>
      </c>
    </row>
    <row r="25" spans="1:28" ht="18.75" customHeight="1">
      <c r="A25" s="74"/>
      <c r="B25" s="31" t="s">
        <v>16</v>
      </c>
      <c r="C25" s="32">
        <v>19613</v>
      </c>
      <c r="D25" s="32">
        <v>19613</v>
      </c>
      <c r="E25" s="32">
        <v>19613</v>
      </c>
      <c r="F25" s="32">
        <v>19613</v>
      </c>
      <c r="G25" s="32">
        <v>19613</v>
      </c>
      <c r="H25" s="32">
        <v>21783</v>
      </c>
      <c r="I25" s="32">
        <v>21783</v>
      </c>
      <c r="J25" s="32">
        <v>21783</v>
      </c>
      <c r="K25" s="32">
        <v>21783</v>
      </c>
      <c r="L25" s="32">
        <v>21783</v>
      </c>
      <c r="M25" s="32">
        <v>21783</v>
      </c>
      <c r="N25" s="32">
        <v>21783</v>
      </c>
      <c r="O25" s="32">
        <v>21783</v>
      </c>
      <c r="P25" s="32">
        <v>21783</v>
      </c>
      <c r="Q25" s="32">
        <v>21783</v>
      </c>
      <c r="R25" s="32">
        <v>21783</v>
      </c>
      <c r="S25" s="32">
        <v>21783</v>
      </c>
      <c r="T25" s="32">
        <v>21783</v>
      </c>
      <c r="U25" s="32">
        <v>21783</v>
      </c>
      <c r="V25" s="32">
        <v>21783</v>
      </c>
      <c r="W25" s="32">
        <v>21783</v>
      </c>
      <c r="X25" s="32">
        <v>21783</v>
      </c>
      <c r="Y25" s="32">
        <v>21783</v>
      </c>
      <c r="Z25" s="32">
        <v>21783</v>
      </c>
      <c r="AA25" s="32">
        <v>21783</v>
      </c>
      <c r="AB25" s="35">
        <f t="shared" si="0"/>
        <v>21349</v>
      </c>
    </row>
    <row r="27" spans="1:28">
      <c r="A27" s="28"/>
    </row>
    <row r="28" spans="1:28">
      <c r="A28" s="33"/>
    </row>
  </sheetData>
  <mergeCells count="4">
    <mergeCell ref="A3:B3"/>
    <mergeCell ref="A5:A11"/>
    <mergeCell ref="A12:A23"/>
    <mergeCell ref="A24:A25"/>
  </mergeCell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76A2-B2D9-472B-995C-FDE6EBD80D57}">
  <sheetPr>
    <tabColor rgb="FFCBFDC3"/>
  </sheetPr>
  <dimension ref="A1:AA68"/>
  <sheetViews>
    <sheetView topLeftCell="A43" workbookViewId="0">
      <selection activeCell="P53" sqref="P53"/>
    </sheetView>
  </sheetViews>
  <sheetFormatPr defaultColWidth="9" defaultRowHeight="15"/>
  <cols>
    <col min="1" max="1" width="14.28515625" style="2" customWidth="1"/>
    <col min="2" max="4" width="13.85546875" style="2" customWidth="1"/>
    <col min="5" max="5" width="15.42578125" style="2" customWidth="1"/>
    <col min="6" max="6" width="14.85546875" style="2" customWidth="1"/>
    <col min="7" max="8" width="12.42578125" style="1" customWidth="1"/>
    <col min="9" max="9" width="11.42578125" style="1" customWidth="1"/>
    <col min="10" max="10" width="9.7109375" style="1" bestFit="1" customWidth="1"/>
    <col min="11" max="19" width="9" style="1"/>
    <col min="20" max="257" width="9" style="2"/>
    <col min="258" max="261" width="15.42578125" style="2" customWidth="1"/>
    <col min="262" max="262" width="14" style="2" customWidth="1"/>
    <col min="263" max="263" width="12.42578125" style="2" customWidth="1"/>
    <col min="264" max="264" width="12.28515625" style="2" customWidth="1"/>
    <col min="265" max="265" width="12.140625" style="2" customWidth="1"/>
    <col min="266" max="513" width="9" style="2"/>
    <col min="514" max="517" width="15.42578125" style="2" customWidth="1"/>
    <col min="518" max="518" width="14" style="2" customWidth="1"/>
    <col min="519" max="519" width="12.42578125" style="2" customWidth="1"/>
    <col min="520" max="520" width="12.28515625" style="2" customWidth="1"/>
    <col min="521" max="521" width="12.140625" style="2" customWidth="1"/>
    <col min="522" max="769" width="9" style="2"/>
    <col min="770" max="773" width="15.42578125" style="2" customWidth="1"/>
    <col min="774" max="774" width="14" style="2" customWidth="1"/>
    <col min="775" max="775" width="12.42578125" style="2" customWidth="1"/>
    <col min="776" max="776" width="12.28515625" style="2" customWidth="1"/>
    <col min="777" max="777" width="12.140625" style="2" customWidth="1"/>
    <col min="778" max="1025" width="9" style="2"/>
    <col min="1026" max="1029" width="15.42578125" style="2" customWidth="1"/>
    <col min="1030" max="1030" width="14" style="2" customWidth="1"/>
    <col min="1031" max="1031" width="12.42578125" style="2" customWidth="1"/>
    <col min="1032" max="1032" width="12.28515625" style="2" customWidth="1"/>
    <col min="1033" max="1033" width="12.140625" style="2" customWidth="1"/>
    <col min="1034" max="1281" width="9" style="2"/>
    <col min="1282" max="1285" width="15.42578125" style="2" customWidth="1"/>
    <col min="1286" max="1286" width="14" style="2" customWidth="1"/>
    <col min="1287" max="1287" width="12.42578125" style="2" customWidth="1"/>
    <col min="1288" max="1288" width="12.28515625" style="2" customWidth="1"/>
    <col min="1289" max="1289" width="12.140625" style="2" customWidth="1"/>
    <col min="1290" max="1537" width="9" style="2"/>
    <col min="1538" max="1541" width="15.42578125" style="2" customWidth="1"/>
    <col min="1542" max="1542" width="14" style="2" customWidth="1"/>
    <col min="1543" max="1543" width="12.42578125" style="2" customWidth="1"/>
    <col min="1544" max="1544" width="12.28515625" style="2" customWidth="1"/>
    <col min="1545" max="1545" width="12.140625" style="2" customWidth="1"/>
    <col min="1546" max="1793" width="9" style="2"/>
    <col min="1794" max="1797" width="15.42578125" style="2" customWidth="1"/>
    <col min="1798" max="1798" width="14" style="2" customWidth="1"/>
    <col min="1799" max="1799" width="12.42578125" style="2" customWidth="1"/>
    <col min="1800" max="1800" width="12.28515625" style="2" customWidth="1"/>
    <col min="1801" max="1801" width="12.140625" style="2" customWidth="1"/>
    <col min="1802" max="2049" width="9" style="2"/>
    <col min="2050" max="2053" width="15.42578125" style="2" customWidth="1"/>
    <col min="2054" max="2054" width="14" style="2" customWidth="1"/>
    <col min="2055" max="2055" width="12.42578125" style="2" customWidth="1"/>
    <col min="2056" max="2056" width="12.28515625" style="2" customWidth="1"/>
    <col min="2057" max="2057" width="12.140625" style="2" customWidth="1"/>
    <col min="2058" max="2305" width="9" style="2"/>
    <col min="2306" max="2309" width="15.42578125" style="2" customWidth="1"/>
    <col min="2310" max="2310" width="14" style="2" customWidth="1"/>
    <col min="2311" max="2311" width="12.42578125" style="2" customWidth="1"/>
    <col min="2312" max="2312" width="12.28515625" style="2" customWidth="1"/>
    <col min="2313" max="2313" width="12.140625" style="2" customWidth="1"/>
    <col min="2314" max="2561" width="9" style="2"/>
    <col min="2562" max="2565" width="15.42578125" style="2" customWidth="1"/>
    <col min="2566" max="2566" width="14" style="2" customWidth="1"/>
    <col min="2567" max="2567" width="12.42578125" style="2" customWidth="1"/>
    <col min="2568" max="2568" width="12.28515625" style="2" customWidth="1"/>
    <col min="2569" max="2569" width="12.140625" style="2" customWidth="1"/>
    <col min="2570" max="2817" width="9" style="2"/>
    <col min="2818" max="2821" width="15.42578125" style="2" customWidth="1"/>
    <col min="2822" max="2822" width="14" style="2" customWidth="1"/>
    <col min="2823" max="2823" width="12.42578125" style="2" customWidth="1"/>
    <col min="2824" max="2824" width="12.28515625" style="2" customWidth="1"/>
    <col min="2825" max="2825" width="12.140625" style="2" customWidth="1"/>
    <col min="2826" max="3073" width="9" style="2"/>
    <col min="3074" max="3077" width="15.42578125" style="2" customWidth="1"/>
    <col min="3078" max="3078" width="14" style="2" customWidth="1"/>
    <col min="3079" max="3079" width="12.42578125" style="2" customWidth="1"/>
    <col min="3080" max="3080" width="12.28515625" style="2" customWidth="1"/>
    <col min="3081" max="3081" width="12.140625" style="2" customWidth="1"/>
    <col min="3082" max="3329" width="9" style="2"/>
    <col min="3330" max="3333" width="15.42578125" style="2" customWidth="1"/>
    <col min="3334" max="3334" width="14" style="2" customWidth="1"/>
    <col min="3335" max="3335" width="12.42578125" style="2" customWidth="1"/>
    <col min="3336" max="3336" width="12.28515625" style="2" customWidth="1"/>
    <col min="3337" max="3337" width="12.140625" style="2" customWidth="1"/>
    <col min="3338" max="3585" width="9" style="2"/>
    <col min="3586" max="3589" width="15.42578125" style="2" customWidth="1"/>
    <col min="3590" max="3590" width="14" style="2" customWidth="1"/>
    <col min="3591" max="3591" width="12.42578125" style="2" customWidth="1"/>
    <col min="3592" max="3592" width="12.28515625" style="2" customWidth="1"/>
    <col min="3593" max="3593" width="12.140625" style="2" customWidth="1"/>
    <col min="3594" max="3841" width="9" style="2"/>
    <col min="3842" max="3845" width="15.42578125" style="2" customWidth="1"/>
    <col min="3846" max="3846" width="14" style="2" customWidth="1"/>
    <col min="3847" max="3847" width="12.42578125" style="2" customWidth="1"/>
    <col min="3848" max="3848" width="12.28515625" style="2" customWidth="1"/>
    <col min="3849" max="3849" width="12.140625" style="2" customWidth="1"/>
    <col min="3850" max="4097" width="9" style="2"/>
    <col min="4098" max="4101" width="15.42578125" style="2" customWidth="1"/>
    <col min="4102" max="4102" width="14" style="2" customWidth="1"/>
    <col min="4103" max="4103" width="12.42578125" style="2" customWidth="1"/>
    <col min="4104" max="4104" width="12.28515625" style="2" customWidth="1"/>
    <col min="4105" max="4105" width="12.140625" style="2" customWidth="1"/>
    <col min="4106" max="4353" width="9" style="2"/>
    <col min="4354" max="4357" width="15.42578125" style="2" customWidth="1"/>
    <col min="4358" max="4358" width="14" style="2" customWidth="1"/>
    <col min="4359" max="4359" width="12.42578125" style="2" customWidth="1"/>
    <col min="4360" max="4360" width="12.28515625" style="2" customWidth="1"/>
    <col min="4361" max="4361" width="12.140625" style="2" customWidth="1"/>
    <col min="4362" max="4609" width="9" style="2"/>
    <col min="4610" max="4613" width="15.42578125" style="2" customWidth="1"/>
    <col min="4614" max="4614" width="14" style="2" customWidth="1"/>
    <col min="4615" max="4615" width="12.42578125" style="2" customWidth="1"/>
    <col min="4616" max="4616" width="12.28515625" style="2" customWidth="1"/>
    <col min="4617" max="4617" width="12.140625" style="2" customWidth="1"/>
    <col min="4618" max="4865" width="9" style="2"/>
    <col min="4866" max="4869" width="15.42578125" style="2" customWidth="1"/>
    <col min="4870" max="4870" width="14" style="2" customWidth="1"/>
    <col min="4871" max="4871" width="12.42578125" style="2" customWidth="1"/>
    <col min="4872" max="4872" width="12.28515625" style="2" customWidth="1"/>
    <col min="4873" max="4873" width="12.140625" style="2" customWidth="1"/>
    <col min="4874" max="5121" width="9" style="2"/>
    <col min="5122" max="5125" width="15.42578125" style="2" customWidth="1"/>
    <col min="5126" max="5126" width="14" style="2" customWidth="1"/>
    <col min="5127" max="5127" width="12.42578125" style="2" customWidth="1"/>
    <col min="5128" max="5128" width="12.28515625" style="2" customWidth="1"/>
    <col min="5129" max="5129" width="12.140625" style="2" customWidth="1"/>
    <col min="5130" max="5377" width="9" style="2"/>
    <col min="5378" max="5381" width="15.42578125" style="2" customWidth="1"/>
    <col min="5382" max="5382" width="14" style="2" customWidth="1"/>
    <col min="5383" max="5383" width="12.42578125" style="2" customWidth="1"/>
    <col min="5384" max="5384" width="12.28515625" style="2" customWidth="1"/>
    <col min="5385" max="5385" width="12.140625" style="2" customWidth="1"/>
    <col min="5386" max="5633" width="9" style="2"/>
    <col min="5634" max="5637" width="15.42578125" style="2" customWidth="1"/>
    <col min="5638" max="5638" width="14" style="2" customWidth="1"/>
    <col min="5639" max="5639" width="12.42578125" style="2" customWidth="1"/>
    <col min="5640" max="5640" width="12.28515625" style="2" customWidth="1"/>
    <col min="5641" max="5641" width="12.140625" style="2" customWidth="1"/>
    <col min="5642" max="5889" width="9" style="2"/>
    <col min="5890" max="5893" width="15.42578125" style="2" customWidth="1"/>
    <col min="5894" max="5894" width="14" style="2" customWidth="1"/>
    <col min="5895" max="5895" width="12.42578125" style="2" customWidth="1"/>
    <col min="5896" max="5896" width="12.28515625" style="2" customWidth="1"/>
    <col min="5897" max="5897" width="12.140625" style="2" customWidth="1"/>
    <col min="5898" max="6145" width="9" style="2"/>
    <col min="6146" max="6149" width="15.42578125" style="2" customWidth="1"/>
    <col min="6150" max="6150" width="14" style="2" customWidth="1"/>
    <col min="6151" max="6151" width="12.42578125" style="2" customWidth="1"/>
    <col min="6152" max="6152" width="12.28515625" style="2" customWidth="1"/>
    <col min="6153" max="6153" width="12.140625" style="2" customWidth="1"/>
    <col min="6154" max="6401" width="9" style="2"/>
    <col min="6402" max="6405" width="15.42578125" style="2" customWidth="1"/>
    <col min="6406" max="6406" width="14" style="2" customWidth="1"/>
    <col min="6407" max="6407" width="12.42578125" style="2" customWidth="1"/>
    <col min="6408" max="6408" width="12.28515625" style="2" customWidth="1"/>
    <col min="6409" max="6409" width="12.140625" style="2" customWidth="1"/>
    <col min="6410" max="6657" width="9" style="2"/>
    <col min="6658" max="6661" width="15.42578125" style="2" customWidth="1"/>
    <col min="6662" max="6662" width="14" style="2" customWidth="1"/>
    <col min="6663" max="6663" width="12.42578125" style="2" customWidth="1"/>
    <col min="6664" max="6664" width="12.28515625" style="2" customWidth="1"/>
    <col min="6665" max="6665" width="12.140625" style="2" customWidth="1"/>
    <col min="6666" max="6913" width="9" style="2"/>
    <col min="6914" max="6917" width="15.42578125" style="2" customWidth="1"/>
    <col min="6918" max="6918" width="14" style="2" customWidth="1"/>
    <col min="6919" max="6919" width="12.42578125" style="2" customWidth="1"/>
    <col min="6920" max="6920" width="12.28515625" style="2" customWidth="1"/>
    <col min="6921" max="6921" width="12.140625" style="2" customWidth="1"/>
    <col min="6922" max="7169" width="9" style="2"/>
    <col min="7170" max="7173" width="15.42578125" style="2" customWidth="1"/>
    <col min="7174" max="7174" width="14" style="2" customWidth="1"/>
    <col min="7175" max="7175" width="12.42578125" style="2" customWidth="1"/>
    <col min="7176" max="7176" width="12.28515625" style="2" customWidth="1"/>
    <col min="7177" max="7177" width="12.140625" style="2" customWidth="1"/>
    <col min="7178" max="7425" width="9" style="2"/>
    <col min="7426" max="7429" width="15.42578125" style="2" customWidth="1"/>
    <col min="7430" max="7430" width="14" style="2" customWidth="1"/>
    <col min="7431" max="7431" width="12.42578125" style="2" customWidth="1"/>
    <col min="7432" max="7432" width="12.28515625" style="2" customWidth="1"/>
    <col min="7433" max="7433" width="12.140625" style="2" customWidth="1"/>
    <col min="7434" max="7681" width="9" style="2"/>
    <col min="7682" max="7685" width="15.42578125" style="2" customWidth="1"/>
    <col min="7686" max="7686" width="14" style="2" customWidth="1"/>
    <col min="7687" max="7687" width="12.42578125" style="2" customWidth="1"/>
    <col min="7688" max="7688" width="12.28515625" style="2" customWidth="1"/>
    <col min="7689" max="7689" width="12.140625" style="2" customWidth="1"/>
    <col min="7690" max="7937" width="9" style="2"/>
    <col min="7938" max="7941" width="15.42578125" style="2" customWidth="1"/>
    <col min="7942" max="7942" width="14" style="2" customWidth="1"/>
    <col min="7943" max="7943" width="12.42578125" style="2" customWidth="1"/>
    <col min="7944" max="7944" width="12.28515625" style="2" customWidth="1"/>
    <col min="7945" max="7945" width="12.140625" style="2" customWidth="1"/>
    <col min="7946" max="8193" width="9" style="2"/>
    <col min="8194" max="8197" width="15.42578125" style="2" customWidth="1"/>
    <col min="8198" max="8198" width="14" style="2" customWidth="1"/>
    <col min="8199" max="8199" width="12.42578125" style="2" customWidth="1"/>
    <col min="8200" max="8200" width="12.28515625" style="2" customWidth="1"/>
    <col min="8201" max="8201" width="12.140625" style="2" customWidth="1"/>
    <col min="8202" max="8449" width="9" style="2"/>
    <col min="8450" max="8453" width="15.42578125" style="2" customWidth="1"/>
    <col min="8454" max="8454" width="14" style="2" customWidth="1"/>
    <col min="8455" max="8455" width="12.42578125" style="2" customWidth="1"/>
    <col min="8456" max="8456" width="12.28515625" style="2" customWidth="1"/>
    <col min="8457" max="8457" width="12.140625" style="2" customWidth="1"/>
    <col min="8458" max="8705" width="9" style="2"/>
    <col min="8706" max="8709" width="15.42578125" style="2" customWidth="1"/>
    <col min="8710" max="8710" width="14" style="2" customWidth="1"/>
    <col min="8711" max="8711" width="12.42578125" style="2" customWidth="1"/>
    <col min="8712" max="8712" width="12.28515625" style="2" customWidth="1"/>
    <col min="8713" max="8713" width="12.140625" style="2" customWidth="1"/>
    <col min="8714" max="8961" width="9" style="2"/>
    <col min="8962" max="8965" width="15.42578125" style="2" customWidth="1"/>
    <col min="8966" max="8966" width="14" style="2" customWidth="1"/>
    <col min="8967" max="8967" width="12.42578125" style="2" customWidth="1"/>
    <col min="8968" max="8968" width="12.28515625" style="2" customWidth="1"/>
    <col min="8969" max="8969" width="12.140625" style="2" customWidth="1"/>
    <col min="8970" max="9217" width="9" style="2"/>
    <col min="9218" max="9221" width="15.42578125" style="2" customWidth="1"/>
    <col min="9222" max="9222" width="14" style="2" customWidth="1"/>
    <col min="9223" max="9223" width="12.42578125" style="2" customWidth="1"/>
    <col min="9224" max="9224" width="12.28515625" style="2" customWidth="1"/>
    <col min="9225" max="9225" width="12.140625" style="2" customWidth="1"/>
    <col min="9226" max="9473" width="9" style="2"/>
    <col min="9474" max="9477" width="15.42578125" style="2" customWidth="1"/>
    <col min="9478" max="9478" width="14" style="2" customWidth="1"/>
    <col min="9479" max="9479" width="12.42578125" style="2" customWidth="1"/>
    <col min="9480" max="9480" width="12.28515625" style="2" customWidth="1"/>
    <col min="9481" max="9481" width="12.140625" style="2" customWidth="1"/>
    <col min="9482" max="9729" width="9" style="2"/>
    <col min="9730" max="9733" width="15.42578125" style="2" customWidth="1"/>
    <col min="9734" max="9734" width="14" style="2" customWidth="1"/>
    <col min="9735" max="9735" width="12.42578125" style="2" customWidth="1"/>
    <col min="9736" max="9736" width="12.28515625" style="2" customWidth="1"/>
    <col min="9737" max="9737" width="12.140625" style="2" customWidth="1"/>
    <col min="9738" max="9985" width="9" style="2"/>
    <col min="9986" max="9989" width="15.42578125" style="2" customWidth="1"/>
    <col min="9990" max="9990" width="14" style="2" customWidth="1"/>
    <col min="9991" max="9991" width="12.42578125" style="2" customWidth="1"/>
    <col min="9992" max="9992" width="12.28515625" style="2" customWidth="1"/>
    <col min="9993" max="9993" width="12.140625" style="2" customWidth="1"/>
    <col min="9994" max="10241" width="9" style="2"/>
    <col min="10242" max="10245" width="15.42578125" style="2" customWidth="1"/>
    <col min="10246" max="10246" width="14" style="2" customWidth="1"/>
    <col min="10247" max="10247" width="12.42578125" style="2" customWidth="1"/>
    <col min="10248" max="10248" width="12.28515625" style="2" customWidth="1"/>
    <col min="10249" max="10249" width="12.140625" style="2" customWidth="1"/>
    <col min="10250" max="10497" width="9" style="2"/>
    <col min="10498" max="10501" width="15.42578125" style="2" customWidth="1"/>
    <col min="10502" max="10502" width="14" style="2" customWidth="1"/>
    <col min="10503" max="10503" width="12.42578125" style="2" customWidth="1"/>
    <col min="10504" max="10504" width="12.28515625" style="2" customWidth="1"/>
    <col min="10505" max="10505" width="12.140625" style="2" customWidth="1"/>
    <col min="10506" max="10753" width="9" style="2"/>
    <col min="10754" max="10757" width="15.42578125" style="2" customWidth="1"/>
    <col min="10758" max="10758" width="14" style="2" customWidth="1"/>
    <col min="10759" max="10759" width="12.42578125" style="2" customWidth="1"/>
    <col min="10760" max="10760" width="12.28515625" style="2" customWidth="1"/>
    <col min="10761" max="10761" width="12.140625" style="2" customWidth="1"/>
    <col min="10762" max="11009" width="9" style="2"/>
    <col min="11010" max="11013" width="15.42578125" style="2" customWidth="1"/>
    <col min="11014" max="11014" width="14" style="2" customWidth="1"/>
    <col min="11015" max="11015" width="12.42578125" style="2" customWidth="1"/>
    <col min="11016" max="11016" width="12.28515625" style="2" customWidth="1"/>
    <col min="11017" max="11017" width="12.140625" style="2" customWidth="1"/>
    <col min="11018" max="11265" width="9" style="2"/>
    <col min="11266" max="11269" width="15.42578125" style="2" customWidth="1"/>
    <col min="11270" max="11270" width="14" style="2" customWidth="1"/>
    <col min="11271" max="11271" width="12.42578125" style="2" customWidth="1"/>
    <col min="11272" max="11272" width="12.28515625" style="2" customWidth="1"/>
    <col min="11273" max="11273" width="12.140625" style="2" customWidth="1"/>
    <col min="11274" max="11521" width="9" style="2"/>
    <col min="11522" max="11525" width="15.42578125" style="2" customWidth="1"/>
    <col min="11526" max="11526" width="14" style="2" customWidth="1"/>
    <col min="11527" max="11527" width="12.42578125" style="2" customWidth="1"/>
    <col min="11528" max="11528" width="12.28515625" style="2" customWidth="1"/>
    <col min="11529" max="11529" width="12.140625" style="2" customWidth="1"/>
    <col min="11530" max="11777" width="9" style="2"/>
    <col min="11778" max="11781" width="15.42578125" style="2" customWidth="1"/>
    <col min="11782" max="11782" width="14" style="2" customWidth="1"/>
    <col min="11783" max="11783" width="12.42578125" style="2" customWidth="1"/>
    <col min="11784" max="11784" width="12.28515625" style="2" customWidth="1"/>
    <col min="11785" max="11785" width="12.140625" style="2" customWidth="1"/>
    <col min="11786" max="12033" width="9" style="2"/>
    <col min="12034" max="12037" width="15.42578125" style="2" customWidth="1"/>
    <col min="12038" max="12038" width="14" style="2" customWidth="1"/>
    <col min="12039" max="12039" width="12.42578125" style="2" customWidth="1"/>
    <col min="12040" max="12040" width="12.28515625" style="2" customWidth="1"/>
    <col min="12041" max="12041" width="12.140625" style="2" customWidth="1"/>
    <col min="12042" max="12289" width="9" style="2"/>
    <col min="12290" max="12293" width="15.42578125" style="2" customWidth="1"/>
    <col min="12294" max="12294" width="14" style="2" customWidth="1"/>
    <col min="12295" max="12295" width="12.42578125" style="2" customWidth="1"/>
    <col min="12296" max="12296" width="12.28515625" style="2" customWidth="1"/>
    <col min="12297" max="12297" width="12.140625" style="2" customWidth="1"/>
    <col min="12298" max="12545" width="9" style="2"/>
    <col min="12546" max="12549" width="15.42578125" style="2" customWidth="1"/>
    <col min="12550" max="12550" width="14" style="2" customWidth="1"/>
    <col min="12551" max="12551" width="12.42578125" style="2" customWidth="1"/>
    <col min="12552" max="12552" width="12.28515625" style="2" customWidth="1"/>
    <col min="12553" max="12553" width="12.140625" style="2" customWidth="1"/>
    <col min="12554" max="12801" width="9" style="2"/>
    <col min="12802" max="12805" width="15.42578125" style="2" customWidth="1"/>
    <col min="12806" max="12806" width="14" style="2" customWidth="1"/>
    <col min="12807" max="12807" width="12.42578125" style="2" customWidth="1"/>
    <col min="12808" max="12808" width="12.28515625" style="2" customWidth="1"/>
    <col min="12809" max="12809" width="12.140625" style="2" customWidth="1"/>
    <col min="12810" max="13057" width="9" style="2"/>
    <col min="13058" max="13061" width="15.42578125" style="2" customWidth="1"/>
    <col min="13062" max="13062" width="14" style="2" customWidth="1"/>
    <col min="13063" max="13063" width="12.42578125" style="2" customWidth="1"/>
    <col min="13064" max="13064" width="12.28515625" style="2" customWidth="1"/>
    <col min="13065" max="13065" width="12.140625" style="2" customWidth="1"/>
    <col min="13066" max="13313" width="9" style="2"/>
    <col min="13314" max="13317" width="15.42578125" style="2" customWidth="1"/>
    <col min="13318" max="13318" width="14" style="2" customWidth="1"/>
    <col min="13319" max="13319" width="12.42578125" style="2" customWidth="1"/>
    <col min="13320" max="13320" width="12.28515625" style="2" customWidth="1"/>
    <col min="13321" max="13321" width="12.140625" style="2" customWidth="1"/>
    <col min="13322" max="13569" width="9" style="2"/>
    <col min="13570" max="13573" width="15.42578125" style="2" customWidth="1"/>
    <col min="13574" max="13574" width="14" style="2" customWidth="1"/>
    <col min="13575" max="13575" width="12.42578125" style="2" customWidth="1"/>
    <col min="13576" max="13576" width="12.28515625" style="2" customWidth="1"/>
    <col min="13577" max="13577" width="12.140625" style="2" customWidth="1"/>
    <col min="13578" max="13825" width="9" style="2"/>
    <col min="13826" max="13829" width="15.42578125" style="2" customWidth="1"/>
    <col min="13830" max="13830" width="14" style="2" customWidth="1"/>
    <col min="13831" max="13831" width="12.42578125" style="2" customWidth="1"/>
    <col min="13832" max="13832" width="12.28515625" style="2" customWidth="1"/>
    <col min="13833" max="13833" width="12.140625" style="2" customWidth="1"/>
    <col min="13834" max="14081" width="9" style="2"/>
    <col min="14082" max="14085" width="15.42578125" style="2" customWidth="1"/>
    <col min="14086" max="14086" width="14" style="2" customWidth="1"/>
    <col min="14087" max="14087" width="12.42578125" style="2" customWidth="1"/>
    <col min="14088" max="14088" width="12.28515625" style="2" customWidth="1"/>
    <col min="14089" max="14089" width="12.140625" style="2" customWidth="1"/>
    <col min="14090" max="14337" width="9" style="2"/>
    <col min="14338" max="14341" width="15.42578125" style="2" customWidth="1"/>
    <col min="14342" max="14342" width="14" style="2" customWidth="1"/>
    <col min="14343" max="14343" width="12.42578125" style="2" customWidth="1"/>
    <col min="14344" max="14344" width="12.28515625" style="2" customWidth="1"/>
    <col min="14345" max="14345" width="12.140625" style="2" customWidth="1"/>
    <col min="14346" max="14593" width="9" style="2"/>
    <col min="14594" max="14597" width="15.42578125" style="2" customWidth="1"/>
    <col min="14598" max="14598" width="14" style="2" customWidth="1"/>
    <col min="14599" max="14599" width="12.42578125" style="2" customWidth="1"/>
    <col min="14600" max="14600" width="12.28515625" style="2" customWidth="1"/>
    <col min="14601" max="14601" width="12.140625" style="2" customWidth="1"/>
    <col min="14602" max="14849" width="9" style="2"/>
    <col min="14850" max="14853" width="15.42578125" style="2" customWidth="1"/>
    <col min="14854" max="14854" width="14" style="2" customWidth="1"/>
    <col min="14855" max="14855" width="12.42578125" style="2" customWidth="1"/>
    <col min="14856" max="14856" width="12.28515625" style="2" customWidth="1"/>
    <col min="14857" max="14857" width="12.140625" style="2" customWidth="1"/>
    <col min="14858" max="15105" width="9" style="2"/>
    <col min="15106" max="15109" width="15.42578125" style="2" customWidth="1"/>
    <col min="15110" max="15110" width="14" style="2" customWidth="1"/>
    <col min="15111" max="15111" width="12.42578125" style="2" customWidth="1"/>
    <col min="15112" max="15112" width="12.28515625" style="2" customWidth="1"/>
    <col min="15113" max="15113" width="12.140625" style="2" customWidth="1"/>
    <col min="15114" max="15361" width="9" style="2"/>
    <col min="15362" max="15365" width="15.42578125" style="2" customWidth="1"/>
    <col min="15366" max="15366" width="14" style="2" customWidth="1"/>
    <col min="15367" max="15367" width="12.42578125" style="2" customWidth="1"/>
    <col min="15368" max="15368" width="12.28515625" style="2" customWidth="1"/>
    <col min="15369" max="15369" width="12.140625" style="2" customWidth="1"/>
    <col min="15370" max="15617" width="9" style="2"/>
    <col min="15618" max="15621" width="15.42578125" style="2" customWidth="1"/>
    <col min="15622" max="15622" width="14" style="2" customWidth="1"/>
    <col min="15623" max="15623" width="12.42578125" style="2" customWidth="1"/>
    <col min="15624" max="15624" width="12.28515625" style="2" customWidth="1"/>
    <col min="15625" max="15625" width="12.140625" style="2" customWidth="1"/>
    <col min="15626" max="15873" width="9" style="2"/>
    <col min="15874" max="15877" width="15.42578125" style="2" customWidth="1"/>
    <col min="15878" max="15878" width="14" style="2" customWidth="1"/>
    <col min="15879" max="15879" width="12.42578125" style="2" customWidth="1"/>
    <col min="15880" max="15880" width="12.28515625" style="2" customWidth="1"/>
    <col min="15881" max="15881" width="12.140625" style="2" customWidth="1"/>
    <col min="15882" max="16129" width="9" style="2"/>
    <col min="16130" max="16133" width="15.42578125" style="2" customWidth="1"/>
    <col min="16134" max="16134" width="14" style="2" customWidth="1"/>
    <col min="16135" max="16135" width="12.42578125" style="2" customWidth="1"/>
    <col min="16136" max="16136" width="12.28515625" style="2" customWidth="1"/>
    <col min="16137" max="16137" width="12.140625" style="2" customWidth="1"/>
    <col min="16138" max="16384" width="9" style="2"/>
  </cols>
  <sheetData>
    <row r="1" spans="1:7">
      <c r="A1" s="3" t="s">
        <v>50</v>
      </c>
    </row>
    <row r="2" spans="1:7">
      <c r="A2" s="59" t="s">
        <v>17</v>
      </c>
      <c r="B2" s="61" t="s">
        <v>0</v>
      </c>
      <c r="C2" s="62"/>
      <c r="D2" s="59" t="s">
        <v>31</v>
      </c>
      <c r="E2" s="59" t="s">
        <v>18</v>
      </c>
      <c r="F2" s="59" t="s">
        <v>19</v>
      </c>
    </row>
    <row r="3" spans="1:7" s="2" customFormat="1">
      <c r="A3" s="60"/>
      <c r="B3" s="4" t="s">
        <v>28</v>
      </c>
      <c r="C3" s="4" t="s">
        <v>30</v>
      </c>
      <c r="D3" s="60"/>
      <c r="E3" s="60"/>
      <c r="F3" s="60"/>
    </row>
    <row r="4" spans="1:7">
      <c r="A4" s="53">
        <v>1</v>
      </c>
      <c r="B4" s="5">
        <f>APR!C5/1000</f>
        <v>2700.3850000000002</v>
      </c>
      <c r="C4" s="5">
        <f>(APR!C10+APR!C11)/1000</f>
        <v>264.89400000000001</v>
      </c>
      <c r="D4" s="5">
        <f t="shared" ref="D4:D28" si="0">B4+C4</f>
        <v>2965.2790000000005</v>
      </c>
      <c r="E4" s="6">
        <v>6760</v>
      </c>
      <c r="F4" s="7">
        <f>D4/E4</f>
        <v>0.43865073964497048</v>
      </c>
    </row>
    <row r="5" spans="1:7">
      <c r="A5" s="53">
        <v>2</v>
      </c>
      <c r="B5" s="5">
        <f>APR!D5/1000</f>
        <v>1388.65</v>
      </c>
      <c r="C5" s="5">
        <f>(APR!D10+APR!D11)/1000</f>
        <v>246.37200000000001</v>
      </c>
      <c r="D5" s="5">
        <f t="shared" si="0"/>
        <v>1635.0220000000002</v>
      </c>
      <c r="E5" s="6">
        <v>6760</v>
      </c>
      <c r="F5" s="7">
        <f t="shared" ref="F5:F28" si="1">D5/E5</f>
        <v>0.24186715976331363</v>
      </c>
      <c r="G5" s="43"/>
    </row>
    <row r="6" spans="1:7">
      <c r="A6" s="53">
        <v>4</v>
      </c>
      <c r="B6" s="5">
        <f>APR!E5/1000</f>
        <v>2168.6309999999999</v>
      </c>
      <c r="C6" s="5">
        <f>(APR!E10+APR!E11)/1000</f>
        <v>177.24799999999999</v>
      </c>
      <c r="D6" s="5">
        <f t="shared" si="0"/>
        <v>2345.8789999999999</v>
      </c>
      <c r="E6" s="6">
        <v>6760</v>
      </c>
      <c r="F6" s="7">
        <f t="shared" si="1"/>
        <v>0.34702352071005915</v>
      </c>
    </row>
    <row r="7" spans="1:7">
      <c r="A7" s="53">
        <v>6</v>
      </c>
      <c r="B7" s="5">
        <f>APR!F5/1000</f>
        <v>2125.8000000000002</v>
      </c>
      <c r="C7" s="5">
        <f>(APR!F10+APR!F11)/1000</f>
        <v>293.15800000000002</v>
      </c>
      <c r="D7" s="5">
        <f t="shared" si="0"/>
        <v>2418.9580000000001</v>
      </c>
      <c r="E7" s="6">
        <v>6760</v>
      </c>
      <c r="F7" s="7">
        <f t="shared" si="1"/>
        <v>0.35783402366863909</v>
      </c>
    </row>
    <row r="8" spans="1:7">
      <c r="A8" s="53">
        <v>7</v>
      </c>
      <c r="B8" s="5">
        <f>APR!G5/1000</f>
        <v>1669.34</v>
      </c>
      <c r="C8" s="5">
        <f>(APR!G10+APR!G11)/1000</f>
        <v>277.69600000000003</v>
      </c>
      <c r="D8" s="5">
        <f t="shared" si="0"/>
        <v>1947.0360000000001</v>
      </c>
      <c r="E8" s="6">
        <v>6760</v>
      </c>
      <c r="F8" s="7">
        <f t="shared" si="1"/>
        <v>0.28802307692307694</v>
      </c>
    </row>
    <row r="9" spans="1:7">
      <c r="A9" s="53">
        <v>8</v>
      </c>
      <c r="B9" s="5">
        <f>APR!H5/1000</f>
        <v>1922.0150000000001</v>
      </c>
      <c r="C9" s="5">
        <f>(APR!H10+APR!H11)/1000</f>
        <v>275.173</v>
      </c>
      <c r="D9" s="5">
        <f t="shared" si="0"/>
        <v>2197.1880000000001</v>
      </c>
      <c r="E9" s="6">
        <v>6760</v>
      </c>
      <c r="F9" s="7">
        <f t="shared" si="1"/>
        <v>0.32502781065088759</v>
      </c>
    </row>
    <row r="10" spans="1:7">
      <c r="A10" s="53">
        <v>9</v>
      </c>
      <c r="B10" s="5">
        <f>APR!I5/1000</f>
        <v>2315.645</v>
      </c>
      <c r="C10" s="5">
        <f>(APR!I10+APR!I11)/1000</f>
        <v>252.553</v>
      </c>
      <c r="D10" s="5">
        <f t="shared" si="0"/>
        <v>2568.1979999999999</v>
      </c>
      <c r="E10" s="6">
        <v>6760</v>
      </c>
      <c r="F10" s="7">
        <f t="shared" si="1"/>
        <v>0.37991094674556208</v>
      </c>
    </row>
    <row r="11" spans="1:7">
      <c r="A11" s="53">
        <v>10</v>
      </c>
      <c r="B11" s="5">
        <f>APR!J5/1000</f>
        <v>1952.395</v>
      </c>
      <c r="C11" s="5">
        <f>(APR!J10+APR!J11)/1000</f>
        <v>268.536</v>
      </c>
      <c r="D11" s="5">
        <f t="shared" si="0"/>
        <v>2220.931</v>
      </c>
      <c r="E11" s="6">
        <v>6760</v>
      </c>
      <c r="F11" s="7">
        <f t="shared" si="1"/>
        <v>0.32854008875739643</v>
      </c>
    </row>
    <row r="12" spans="1:7">
      <c r="A12" s="53">
        <v>11</v>
      </c>
      <c r="B12" s="5">
        <f>APR!K5/1000</f>
        <v>1827.7249999999999</v>
      </c>
      <c r="C12" s="5">
        <f>(APR!K10+APR!K11)/1000</f>
        <v>218.483</v>
      </c>
      <c r="D12" s="5">
        <f t="shared" ref="D12:D21" si="2">B12+C12</f>
        <v>2046.2079999999999</v>
      </c>
      <c r="E12" s="6">
        <v>6760</v>
      </c>
      <c r="F12" s="7">
        <f t="shared" ref="F12:F21" si="3">D12/E12</f>
        <v>0.30269349112426036</v>
      </c>
    </row>
    <row r="13" spans="1:7">
      <c r="A13" s="53">
        <v>13</v>
      </c>
      <c r="B13" s="5">
        <f>APR!L5/1000</f>
        <v>2718.9349999999999</v>
      </c>
      <c r="C13" s="5">
        <f>(APR!L10+APR!L11)/1000</f>
        <v>287.85300000000001</v>
      </c>
      <c r="D13" s="5">
        <f t="shared" si="2"/>
        <v>3006.788</v>
      </c>
      <c r="E13" s="6">
        <v>6760</v>
      </c>
      <c r="F13" s="7">
        <f t="shared" si="3"/>
        <v>0.44479112426035505</v>
      </c>
    </row>
    <row r="14" spans="1:7">
      <c r="A14" s="53">
        <v>14</v>
      </c>
      <c r="B14" s="5">
        <f>APR!M5/1000</f>
        <v>2014.53</v>
      </c>
      <c r="C14" s="5">
        <f>(APR!M10+APR!M11)/1000</f>
        <v>111.113</v>
      </c>
      <c r="D14" s="5">
        <f t="shared" si="2"/>
        <v>2125.643</v>
      </c>
      <c r="E14" s="6">
        <v>6760</v>
      </c>
      <c r="F14" s="7">
        <f t="shared" si="3"/>
        <v>0.31444423076923078</v>
      </c>
    </row>
    <row r="15" spans="1:7">
      <c r="A15" s="53">
        <v>15</v>
      </c>
      <c r="B15" s="5">
        <f>APR!N5/1000</f>
        <v>1730.5150000000001</v>
      </c>
      <c r="C15" s="5">
        <f>(APR!N10+APR!N11)/1000</f>
        <v>285.96899999999999</v>
      </c>
      <c r="D15" s="5">
        <f t="shared" si="2"/>
        <v>2016.4840000000002</v>
      </c>
      <c r="E15" s="6">
        <v>6760</v>
      </c>
      <c r="F15" s="7">
        <f t="shared" si="3"/>
        <v>0.29829644970414204</v>
      </c>
    </row>
    <row r="16" spans="1:7">
      <c r="A16" s="53">
        <v>16</v>
      </c>
      <c r="B16" s="5">
        <f>APR!O5/1000</f>
        <v>1782.54</v>
      </c>
      <c r="C16" s="5">
        <f>(APR!O10+APR!O11)/1000</f>
        <v>285.29199999999997</v>
      </c>
      <c r="D16" s="5">
        <f t="shared" si="2"/>
        <v>2067.8319999999999</v>
      </c>
      <c r="E16" s="6">
        <v>6760</v>
      </c>
      <c r="F16" s="7">
        <f t="shared" si="3"/>
        <v>0.30589230769230769</v>
      </c>
    </row>
    <row r="17" spans="1:19">
      <c r="A17" s="53">
        <v>17</v>
      </c>
      <c r="B17" s="5">
        <f>APR!P5/1000</f>
        <v>2006.415</v>
      </c>
      <c r="C17" s="5">
        <f>(APR!P10+APR!P11)/1000</f>
        <v>395.86399999999998</v>
      </c>
      <c r="D17" s="5">
        <f t="shared" si="2"/>
        <v>2402.279</v>
      </c>
      <c r="E17" s="6">
        <v>6760</v>
      </c>
      <c r="F17" s="7">
        <f t="shared" si="3"/>
        <v>0.35536671597633135</v>
      </c>
    </row>
    <row r="18" spans="1:19">
      <c r="A18" s="53">
        <v>18</v>
      </c>
      <c r="B18" s="5">
        <f>APR!Q5/1000</f>
        <v>2099.42</v>
      </c>
      <c r="C18" s="5">
        <f>(APR!Q10+APR!Q11)/1000</f>
        <v>335.03399999999999</v>
      </c>
      <c r="D18" s="5">
        <f t="shared" si="2"/>
        <v>2434.4540000000002</v>
      </c>
      <c r="E18" s="6">
        <v>6760</v>
      </c>
      <c r="F18" s="7">
        <f t="shared" si="3"/>
        <v>0.36012633136094679</v>
      </c>
    </row>
    <row r="19" spans="1:19" ht="15.75">
      <c r="A19" s="53">
        <v>20</v>
      </c>
      <c r="B19" s="5">
        <f>APR!R5/1000</f>
        <v>1795.62</v>
      </c>
      <c r="C19" s="5">
        <f>(APR!R10+APR!R11)/1000</f>
        <v>341.07600000000002</v>
      </c>
      <c r="D19" s="5">
        <f t="shared" si="2"/>
        <v>2136.6959999999999</v>
      </c>
      <c r="E19" s="6">
        <v>6760</v>
      </c>
      <c r="F19" s="7">
        <f t="shared" si="3"/>
        <v>0.3160792899408284</v>
      </c>
      <c r="H19" s="8" t="s">
        <v>20</v>
      </c>
    </row>
    <row r="20" spans="1:19" ht="15.75">
      <c r="A20" s="53">
        <v>21</v>
      </c>
      <c r="B20" s="5">
        <f>APR!S5/1000</f>
        <v>1749.7449999999999</v>
      </c>
      <c r="C20" s="5">
        <f>(APR!S10+APR!S11)/1000</f>
        <v>479.267</v>
      </c>
      <c r="D20" s="5">
        <f t="shared" si="2"/>
        <v>2229.0119999999997</v>
      </c>
      <c r="E20" s="6">
        <v>6760</v>
      </c>
      <c r="F20" s="7">
        <f t="shared" si="3"/>
        <v>0.32973550295857984</v>
      </c>
      <c r="H20" s="8" t="s">
        <v>24</v>
      </c>
      <c r="J20" s="39">
        <v>6760</v>
      </c>
      <c r="K20" s="41" t="s">
        <v>25</v>
      </c>
    </row>
    <row r="21" spans="1:19" ht="15.75">
      <c r="A21" s="53">
        <v>22</v>
      </c>
      <c r="B21" s="5">
        <f>APR!T5/1000</f>
        <v>1633.0730000000001</v>
      </c>
      <c r="C21" s="5">
        <f>(APR!T10+APR!T11)/1000</f>
        <v>600.89300000000003</v>
      </c>
      <c r="D21" s="5">
        <f t="shared" si="2"/>
        <v>2233.9660000000003</v>
      </c>
      <c r="E21" s="6">
        <v>6760</v>
      </c>
      <c r="F21" s="7">
        <f t="shared" si="3"/>
        <v>0.3304683431952663</v>
      </c>
      <c r="H21" s="58" t="s">
        <v>55</v>
      </c>
      <c r="I21" s="58"/>
      <c r="J21" s="9">
        <v>3831</v>
      </c>
      <c r="K21" s="8" t="s">
        <v>25</v>
      </c>
    </row>
    <row r="22" spans="1:19" ht="15.75">
      <c r="A22" s="53">
        <v>23</v>
      </c>
      <c r="B22" s="5">
        <f>APR!U5/1000</f>
        <v>3428.473</v>
      </c>
      <c r="C22" s="5">
        <f>(APR!U10+APR!U11)/1000</f>
        <v>428.58100000000002</v>
      </c>
      <c r="D22" s="5">
        <f t="shared" si="0"/>
        <v>3857.0540000000001</v>
      </c>
      <c r="E22" s="6">
        <v>6760</v>
      </c>
      <c r="F22" s="7">
        <f t="shared" si="1"/>
        <v>0.57057011834319526</v>
      </c>
      <c r="H22" s="8" t="s">
        <v>26</v>
      </c>
      <c r="J22" s="40">
        <f>J21/J20</f>
        <v>0.56671597633136095</v>
      </c>
      <c r="K22" s="8" t="s">
        <v>25</v>
      </c>
    </row>
    <row r="23" spans="1:19" s="1" customFormat="1">
      <c r="A23" s="53">
        <v>24</v>
      </c>
      <c r="B23" s="5">
        <f>APR!V5/1000</f>
        <v>2921.4250000000002</v>
      </c>
      <c r="C23" s="5">
        <f>(APR!V10+APR!V11)/1000</f>
        <v>507.09300000000002</v>
      </c>
      <c r="D23" s="5">
        <f t="shared" si="0"/>
        <v>3428.518</v>
      </c>
      <c r="E23" s="6">
        <v>6760</v>
      </c>
      <c r="F23" s="7">
        <f t="shared" si="1"/>
        <v>0.5071772189349113</v>
      </c>
      <c r="H23" s="41" t="s">
        <v>27</v>
      </c>
      <c r="I23" s="41"/>
      <c r="J23" s="42">
        <f>100%-J22</f>
        <v>0.43328402366863905</v>
      </c>
      <c r="K23" s="41" t="s">
        <v>25</v>
      </c>
    </row>
    <row r="24" spans="1:19" s="1" customFormat="1">
      <c r="A24" s="53">
        <v>25</v>
      </c>
      <c r="B24" s="5">
        <f>APR!W5/1000</f>
        <v>3104.9</v>
      </c>
      <c r="C24" s="5">
        <f>(APR!W10+APR!W11)/1000</f>
        <v>628.83699999999999</v>
      </c>
      <c r="D24" s="5">
        <f t="shared" si="0"/>
        <v>3733.7370000000001</v>
      </c>
      <c r="E24" s="6">
        <v>6760</v>
      </c>
      <c r="F24" s="7">
        <f t="shared" si="1"/>
        <v>0.55232795857988171</v>
      </c>
    </row>
    <row r="25" spans="1:19" s="1" customFormat="1">
      <c r="A25" s="53">
        <v>27</v>
      </c>
      <c r="B25" s="5">
        <f>APR!X5/1000</f>
        <v>2876.8649999999998</v>
      </c>
      <c r="C25" s="5">
        <f>(APR!X10+APR!X11)/1000</f>
        <v>602.36800000000005</v>
      </c>
      <c r="D25" s="5">
        <f t="shared" si="0"/>
        <v>3479.2329999999997</v>
      </c>
      <c r="E25" s="6">
        <v>6760</v>
      </c>
      <c r="F25" s="7">
        <f t="shared" si="1"/>
        <v>0.5146794378698224</v>
      </c>
    </row>
    <row r="26" spans="1:19" s="1" customFormat="1">
      <c r="A26" s="53">
        <v>28</v>
      </c>
      <c r="B26" s="5">
        <f>APR!Y5/1000</f>
        <v>2674.855</v>
      </c>
      <c r="C26" s="5">
        <f>(APR!Y10+APR!Y11)/1000</f>
        <v>483.95299999999997</v>
      </c>
      <c r="D26" s="5">
        <f t="shared" si="0"/>
        <v>3158.808</v>
      </c>
      <c r="E26" s="6">
        <v>6760</v>
      </c>
      <c r="F26" s="7">
        <f t="shared" si="1"/>
        <v>0.4672792899408284</v>
      </c>
    </row>
    <row r="27" spans="1:19" s="1" customFormat="1">
      <c r="A27" s="53">
        <v>29</v>
      </c>
      <c r="B27" s="5">
        <f>APR!Z5/1000</f>
        <v>2142.19</v>
      </c>
      <c r="C27" s="5">
        <f>(APR!Z10+APR!Z11)/1000</f>
        <v>539.18299999999999</v>
      </c>
      <c r="D27" s="5">
        <f t="shared" si="0"/>
        <v>2681.373</v>
      </c>
      <c r="E27" s="6">
        <v>6760</v>
      </c>
      <c r="F27" s="7">
        <f t="shared" si="1"/>
        <v>0.39665281065088759</v>
      </c>
    </row>
    <row r="28" spans="1:19" s="1" customFormat="1">
      <c r="A28" s="53">
        <v>30</v>
      </c>
      <c r="B28" s="5">
        <f>APR!AA5/1000</f>
        <v>3288.41</v>
      </c>
      <c r="C28" s="5">
        <f>(APR!AA10+APR!AA11)/1000</f>
        <v>542.88199999999995</v>
      </c>
      <c r="D28" s="5">
        <f t="shared" si="0"/>
        <v>3831.2919999999999</v>
      </c>
      <c r="E28" s="6">
        <v>6760</v>
      </c>
      <c r="F28" s="7">
        <f t="shared" si="1"/>
        <v>0.56675917159763312</v>
      </c>
    </row>
    <row r="29" spans="1:19" s="1" customFormat="1">
      <c r="A29" s="10" t="s">
        <v>1</v>
      </c>
      <c r="B29" s="11">
        <f>AVERAGE(B4:B28)</f>
        <v>2241.5398800000003</v>
      </c>
      <c r="C29" s="11">
        <f>AVERAGE(C4:C28)</f>
        <v>365.17484000000002</v>
      </c>
      <c r="D29" s="11">
        <f>AVERAGE(D4:D28)</f>
        <v>2606.7147199999999</v>
      </c>
      <c r="E29" s="11">
        <f>AVERAGE(E4:E28)</f>
        <v>6760</v>
      </c>
      <c r="F29" s="12">
        <f>AVERAGE(F4:F28)</f>
        <v>0.38560868639053258</v>
      </c>
    </row>
    <row r="30" spans="1:19">
      <c r="A30" s="13" t="s">
        <v>21</v>
      </c>
      <c r="B30" s="14">
        <f>MAX(B4:B28)</f>
        <v>3428.473</v>
      </c>
      <c r="C30" s="14">
        <f>MAX(C4:C28)</f>
        <v>628.83699999999999</v>
      </c>
      <c r="D30" s="14">
        <f>MAX(D4:D28)</f>
        <v>3857.0540000000001</v>
      </c>
      <c r="E30" s="15">
        <v>6760</v>
      </c>
      <c r="F30" s="16">
        <f>D30/E30</f>
        <v>0.57057011834319526</v>
      </c>
      <c r="Q30" s="2"/>
      <c r="R30" s="2"/>
      <c r="S30" s="2"/>
    </row>
    <row r="31" spans="1:19" s="1" customFormat="1">
      <c r="A31" s="17"/>
      <c r="B31" s="18"/>
      <c r="C31" s="18"/>
      <c r="D31" s="18"/>
      <c r="E31" s="19"/>
      <c r="F31" s="20"/>
    </row>
    <row r="32" spans="1:19" s="1" customFormat="1">
      <c r="A32" s="17"/>
      <c r="B32" s="18"/>
      <c r="C32" s="18"/>
      <c r="D32" s="18"/>
      <c r="E32" s="19"/>
      <c r="F32" s="20"/>
    </row>
    <row r="33" spans="1:16" s="1" customFormat="1">
      <c r="A33" s="21" t="s">
        <v>51</v>
      </c>
      <c r="B33" s="2"/>
      <c r="C33" s="2"/>
      <c r="D33" s="2"/>
      <c r="E33" s="2"/>
      <c r="F33" s="2"/>
    </row>
    <row r="34" spans="1:16" s="1" customFormat="1">
      <c r="A34" s="63" t="s">
        <v>17</v>
      </c>
      <c r="B34" s="65" t="s">
        <v>0</v>
      </c>
      <c r="C34" s="66"/>
      <c r="D34" s="63" t="s">
        <v>31</v>
      </c>
      <c r="E34" s="63" t="s">
        <v>18</v>
      </c>
      <c r="F34" s="63" t="s">
        <v>19</v>
      </c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s="1" customFormat="1">
      <c r="A35" s="64"/>
      <c r="B35" s="22" t="s">
        <v>28</v>
      </c>
      <c r="C35" s="22" t="s">
        <v>30</v>
      </c>
      <c r="D35" s="64"/>
      <c r="E35" s="64"/>
      <c r="F35" s="64"/>
      <c r="H35" s="2"/>
      <c r="J35" s="2"/>
      <c r="K35" s="2"/>
    </row>
    <row r="36" spans="1:16" s="1" customFormat="1">
      <c r="A36" s="53">
        <v>1</v>
      </c>
      <c r="B36" s="48">
        <f>(APR!C12+APR!C13+APR!C14+APR!C15+APR!C16+APR!C17+APR!C18+APR!C19+APR!C20+APR!C23)/1000</f>
        <v>7649.5460000000003</v>
      </c>
      <c r="C36" s="36">
        <f>(APR!C21+APR!C22)/1000</f>
        <v>403.36599999999999</v>
      </c>
      <c r="D36" s="36">
        <f t="shared" ref="D36:D60" si="4">B36+C36</f>
        <v>8052.9120000000003</v>
      </c>
      <c r="E36" s="37">
        <v>12000</v>
      </c>
      <c r="F36" s="38">
        <f>D36/E36</f>
        <v>0.67107600000000001</v>
      </c>
      <c r="H36" s="2"/>
      <c r="J36" s="2"/>
      <c r="K36" s="2"/>
    </row>
    <row r="37" spans="1:16" s="1" customFormat="1">
      <c r="A37" s="53">
        <v>2</v>
      </c>
      <c r="B37" s="48">
        <f>(APR!D12+APR!D13+APR!D14+APR!D15+APR!D16+APR!D17+APR!D18+APR!D19+APR!D20+APR!D23)/1000</f>
        <v>7868.5680000000002</v>
      </c>
      <c r="C37" s="36">
        <f>(APR!D21+APR!D22)/1000</f>
        <v>464.73899999999998</v>
      </c>
      <c r="D37" s="36">
        <f t="shared" si="4"/>
        <v>8333.3070000000007</v>
      </c>
      <c r="E37" s="37">
        <v>12000</v>
      </c>
      <c r="F37" s="38">
        <f t="shared" ref="F37:F60" si="5">D37/E37</f>
        <v>0.69444225000000004</v>
      </c>
    </row>
    <row r="38" spans="1:16" s="1" customFormat="1">
      <c r="A38" s="53">
        <v>4</v>
      </c>
      <c r="B38" s="48">
        <f>(APR!E12+APR!E13+APR!E14+APR!E15+APR!E16+APR!E17+APR!E18+APR!E19+APR!E20+APR!E23)/1000</f>
        <v>7912.6279999999997</v>
      </c>
      <c r="C38" s="36">
        <f>(APR!E21+APR!E22)/1000</f>
        <v>658.77599999999995</v>
      </c>
      <c r="D38" s="36">
        <f t="shared" si="4"/>
        <v>8571.4040000000005</v>
      </c>
      <c r="E38" s="37">
        <v>12000</v>
      </c>
      <c r="F38" s="38">
        <f t="shared" si="5"/>
        <v>0.71428366666666665</v>
      </c>
    </row>
    <row r="39" spans="1:16" s="1" customFormat="1">
      <c r="A39" s="53">
        <v>6</v>
      </c>
      <c r="B39" s="48">
        <f>(APR!F12+APR!F13+APR!F14+APR!F15+APR!F16+APR!F17+APR!F18+APR!F19+APR!F20+APR!F23)/1000</f>
        <v>8979.8330000000005</v>
      </c>
      <c r="C39" s="36">
        <f>(APR!F21+APR!F22)/1000</f>
        <v>864.99300000000005</v>
      </c>
      <c r="D39" s="36">
        <f t="shared" si="4"/>
        <v>9844.8260000000009</v>
      </c>
      <c r="E39" s="37">
        <v>12000</v>
      </c>
      <c r="F39" s="38">
        <f t="shared" si="5"/>
        <v>0.82040216666666677</v>
      </c>
    </row>
    <row r="40" spans="1:16" s="1" customFormat="1">
      <c r="A40" s="53">
        <v>7</v>
      </c>
      <c r="B40" s="48">
        <f>(APR!G12+APR!G13+APR!G14+APR!G15+APR!G16+APR!G17+APR!G18+APR!G19+APR!G20+APR!G23)/1000</f>
        <v>8733.5310000000009</v>
      </c>
      <c r="C40" s="36">
        <f>(APR!G21+APR!G22)/1000</f>
        <v>894.86099999999999</v>
      </c>
      <c r="D40" s="36">
        <f t="shared" si="4"/>
        <v>9628.3920000000016</v>
      </c>
      <c r="E40" s="37">
        <v>12000</v>
      </c>
      <c r="F40" s="38">
        <f t="shared" si="5"/>
        <v>0.80236600000000013</v>
      </c>
    </row>
    <row r="41" spans="1:16" s="1" customFormat="1">
      <c r="A41" s="53">
        <v>8</v>
      </c>
      <c r="B41" s="48">
        <f>(APR!H12+APR!H13+APR!H14+APR!H15+APR!H16+APR!H17+APR!H18+APR!H19+APR!H20+APR!H23)/1000</f>
        <v>8855.7990000000009</v>
      </c>
      <c r="C41" s="36">
        <f>(APR!H21+APR!H22)/1000</f>
        <v>1187.4870000000001</v>
      </c>
      <c r="D41" s="36">
        <f t="shared" ref="D41:D51" si="6">B41+C41</f>
        <v>10043.286</v>
      </c>
      <c r="E41" s="37">
        <v>12000</v>
      </c>
      <c r="F41" s="38">
        <f t="shared" ref="F41:F51" si="7">D41/E41</f>
        <v>0.83694049999999998</v>
      </c>
    </row>
    <row r="42" spans="1:16" s="1" customFormat="1">
      <c r="A42" s="53">
        <v>9</v>
      </c>
      <c r="B42" s="48">
        <f>(APR!I12+APR!I13+APR!I14+APR!I15+APR!I16+APR!I17+APR!I18+APR!I19+APR!I20+APR!I23)/1000</f>
        <v>8997.3729999999996</v>
      </c>
      <c r="C42" s="36">
        <f>(APR!I21+APR!I22)/1000</f>
        <v>893.58399999999995</v>
      </c>
      <c r="D42" s="36">
        <f t="shared" si="6"/>
        <v>9890.9570000000003</v>
      </c>
      <c r="E42" s="37">
        <v>12000</v>
      </c>
      <c r="F42" s="38">
        <f t="shared" si="7"/>
        <v>0.82424641666666665</v>
      </c>
    </row>
    <row r="43" spans="1:16" s="1" customFormat="1">
      <c r="A43" s="53">
        <v>10</v>
      </c>
      <c r="B43" s="48">
        <f>(APR!J12+APR!J13+APR!J14+APR!J15+APR!J16+APR!J17+APR!J18+APR!J19+APR!J20+APR!J23)/1000</f>
        <v>9099.6419999999998</v>
      </c>
      <c r="C43" s="36">
        <f>(APR!J21+APR!J22)/1000</f>
        <v>743.93700000000001</v>
      </c>
      <c r="D43" s="36">
        <f t="shared" si="6"/>
        <v>9843.5789999999997</v>
      </c>
      <c r="E43" s="37">
        <v>12000</v>
      </c>
      <c r="F43" s="38">
        <f t="shared" si="7"/>
        <v>0.82029825000000001</v>
      </c>
    </row>
    <row r="44" spans="1:16" s="1" customFormat="1">
      <c r="A44" s="53">
        <v>11</v>
      </c>
      <c r="B44" s="48">
        <f>(APR!K12+APR!K13+APR!K14+APR!K15+APR!K16+APR!K17+APR!K18+APR!K19+APR!K20+APR!K23)/1000</f>
        <v>9225.4740000000002</v>
      </c>
      <c r="C44" s="36">
        <f>(APR!K21+APR!K22)/1000</f>
        <v>745.274</v>
      </c>
      <c r="D44" s="36">
        <f t="shared" si="6"/>
        <v>9970.7479999999996</v>
      </c>
      <c r="E44" s="37">
        <v>12000</v>
      </c>
      <c r="F44" s="38">
        <f t="shared" si="7"/>
        <v>0.83089566666666659</v>
      </c>
    </row>
    <row r="45" spans="1:16" s="1" customFormat="1">
      <c r="A45" s="53">
        <v>13</v>
      </c>
      <c r="B45" s="48">
        <f>(APR!L12+APR!L13+APR!L14+APR!L15+APR!L16+APR!L17+APR!L18+APR!L19+APR!L20+APR!L23)/1000</f>
        <v>9612.9539999999997</v>
      </c>
      <c r="C45" s="36">
        <f>(APR!L21+APR!L22)/1000</f>
        <v>1202.415</v>
      </c>
      <c r="D45" s="36">
        <f t="shared" si="6"/>
        <v>10815.368999999999</v>
      </c>
      <c r="E45" s="37">
        <v>12000</v>
      </c>
      <c r="F45" s="38">
        <f t="shared" si="7"/>
        <v>0.90128074999999985</v>
      </c>
    </row>
    <row r="46" spans="1:16" s="1" customFormat="1">
      <c r="A46" s="53">
        <v>14</v>
      </c>
      <c r="B46" s="48">
        <f>(APR!M12+APR!M13+APR!M14+APR!M15+APR!M16+APR!M17+APR!M18+APR!M19+APR!M20+APR!M23)/1000</f>
        <v>9275.393</v>
      </c>
      <c r="C46" s="36">
        <f>(APR!M21+APR!M22)/1000</f>
        <v>1198.838</v>
      </c>
      <c r="D46" s="36">
        <f t="shared" si="6"/>
        <v>10474.231</v>
      </c>
      <c r="E46" s="37">
        <v>12000</v>
      </c>
      <c r="F46" s="38">
        <f t="shared" si="7"/>
        <v>0.87285258333333327</v>
      </c>
    </row>
    <row r="47" spans="1:16" s="1" customFormat="1">
      <c r="A47" s="53">
        <v>15</v>
      </c>
      <c r="B47" s="48">
        <f>(APR!N12+APR!N13+APR!N14+APR!N15+APR!N16+APR!N17+APR!N18+APR!N19+APR!N20+APR!N23)/1000</f>
        <v>8843.0879999999997</v>
      </c>
      <c r="C47" s="36">
        <f>(APR!N21+APR!N22)/1000</f>
        <v>943.69399999999996</v>
      </c>
      <c r="D47" s="36">
        <f t="shared" si="6"/>
        <v>9786.7819999999992</v>
      </c>
      <c r="E47" s="37">
        <v>12000</v>
      </c>
      <c r="F47" s="38">
        <f t="shared" si="7"/>
        <v>0.81556516666666656</v>
      </c>
    </row>
    <row r="48" spans="1:16" s="1" customFormat="1">
      <c r="A48" s="53">
        <v>16</v>
      </c>
      <c r="B48" s="48">
        <f>(APR!O12+APR!O13+APR!O14+APR!O15+APR!O16+APR!O17+APR!O18+APR!O19+APR!O20+APR!O23)/1000</f>
        <v>8451.9560000000001</v>
      </c>
      <c r="C48" s="36">
        <f>(APR!O21+APR!O22)/1000</f>
        <v>700.96900000000005</v>
      </c>
      <c r="D48" s="36">
        <f t="shared" si="6"/>
        <v>9152.9249999999993</v>
      </c>
      <c r="E48" s="37">
        <v>12000</v>
      </c>
      <c r="F48" s="38">
        <f t="shared" si="7"/>
        <v>0.76274374999999994</v>
      </c>
    </row>
    <row r="49" spans="1:27" s="1" customFormat="1">
      <c r="A49" s="53">
        <v>17</v>
      </c>
      <c r="B49" s="48">
        <f>(APR!P12+APR!P13+APR!P14+APR!P15+APR!P16+APR!P17+APR!P18+APR!P19+APR!P20+APR!P23)/1000</f>
        <v>7805.4369999999999</v>
      </c>
      <c r="C49" s="36">
        <f>(APR!P21+APR!P22)/1000</f>
        <v>605.61900000000003</v>
      </c>
      <c r="D49" s="36">
        <f t="shared" si="6"/>
        <v>8411.0560000000005</v>
      </c>
      <c r="E49" s="37">
        <v>12000</v>
      </c>
      <c r="F49" s="38">
        <f t="shared" si="7"/>
        <v>0.7009213333333334</v>
      </c>
    </row>
    <row r="50" spans="1:27" s="1" customFormat="1">
      <c r="A50" s="53">
        <v>18</v>
      </c>
      <c r="B50" s="48">
        <f>(APR!Q12+APR!Q13+APR!Q14+APR!Q15+APR!Q16+APR!Q17+APR!Q18+APR!Q19+APR!Q20+APR!Q23)/1000</f>
        <v>7534.6170000000002</v>
      </c>
      <c r="C50" s="36">
        <f>(APR!Q21+APR!Q22)/1000</f>
        <v>648.12400000000002</v>
      </c>
      <c r="D50" s="36">
        <f t="shared" si="6"/>
        <v>8182.741</v>
      </c>
      <c r="E50" s="37">
        <v>12000</v>
      </c>
      <c r="F50" s="38">
        <f t="shared" si="7"/>
        <v>0.68189508333333337</v>
      </c>
    </row>
    <row r="51" spans="1:27" s="1" customFormat="1" ht="15.75">
      <c r="A51" s="53">
        <v>20</v>
      </c>
      <c r="B51" s="48">
        <f>(APR!R12+APR!R13+APR!R14+APR!R15+APR!R16+APR!R17+APR!R18+APR!R19+APR!R20+APR!R23)/1000</f>
        <v>8595.3510000000006</v>
      </c>
      <c r="C51" s="36">
        <f>(APR!R21+APR!R22)/1000</f>
        <v>613.25699999999995</v>
      </c>
      <c r="D51" s="36">
        <f t="shared" si="6"/>
        <v>9208.6080000000002</v>
      </c>
      <c r="E51" s="37">
        <v>12000</v>
      </c>
      <c r="F51" s="38">
        <f t="shared" si="7"/>
        <v>0.76738400000000007</v>
      </c>
      <c r="H51" s="8" t="s">
        <v>22</v>
      </c>
    </row>
    <row r="52" spans="1:27" s="1" customFormat="1" ht="15.75">
      <c r="A52" s="53">
        <v>21</v>
      </c>
      <c r="B52" s="48">
        <f>(APR!S12+APR!S13+APR!S14+APR!S15+APR!S16+APR!S17+APR!S18+APR!S19+APR!S20+APR!S23)/1000</f>
        <v>8626.1730000000007</v>
      </c>
      <c r="C52" s="36">
        <f>(APR!S21+APR!S22)/1000</f>
        <v>464.47300000000001</v>
      </c>
      <c r="D52" s="36">
        <f t="shared" si="4"/>
        <v>9090.6460000000006</v>
      </c>
      <c r="E52" s="37">
        <v>12000</v>
      </c>
      <c r="F52" s="38">
        <f t="shared" si="5"/>
        <v>0.75755383333333337</v>
      </c>
      <c r="H52" s="8" t="s">
        <v>23</v>
      </c>
    </row>
    <row r="53" spans="1:27" s="1" customFormat="1" ht="15.75">
      <c r="A53" s="53">
        <v>22</v>
      </c>
      <c r="B53" s="48">
        <f>(APR!T12+APR!T13+APR!T14+APR!T15+APR!T16+APR!T17+APR!T18+APR!T19+APR!T20+APR!T23)/1000</f>
        <v>8387.6460000000006</v>
      </c>
      <c r="C53" s="36">
        <f>(APR!T21+APR!T22)/1000</f>
        <v>565.65499999999997</v>
      </c>
      <c r="D53" s="36">
        <f t="shared" si="4"/>
        <v>8953.3010000000013</v>
      </c>
      <c r="E53" s="37">
        <v>12000</v>
      </c>
      <c r="F53" s="38">
        <f t="shared" si="5"/>
        <v>0.74610841666666683</v>
      </c>
      <c r="H53" s="8" t="s">
        <v>24</v>
      </c>
      <c r="I53" s="8"/>
      <c r="J53" s="39">
        <v>12000</v>
      </c>
      <c r="K53" s="8" t="s">
        <v>25</v>
      </c>
    </row>
    <row r="54" spans="1:27" s="1" customFormat="1" ht="15.75">
      <c r="A54" s="53">
        <v>23</v>
      </c>
      <c r="B54" s="48">
        <f>(APR!U12+APR!U13+APR!U14+APR!U15+APR!U16+APR!U17+APR!U18+APR!U19+APR!U20+APR!U23)/1000</f>
        <v>8469.9590000000007</v>
      </c>
      <c r="C54" s="36">
        <f>(APR!U21+APR!U22)/1000</f>
        <v>657.28300000000002</v>
      </c>
      <c r="D54" s="36">
        <f t="shared" si="4"/>
        <v>9127.2420000000002</v>
      </c>
      <c r="E54" s="37">
        <v>12000</v>
      </c>
      <c r="F54" s="38">
        <f t="shared" si="5"/>
        <v>0.76060349999999999</v>
      </c>
      <c r="H54" s="58" t="s">
        <v>55</v>
      </c>
      <c r="I54" s="58"/>
      <c r="J54" s="9">
        <v>9527</v>
      </c>
      <c r="K54" s="8" t="s">
        <v>25</v>
      </c>
    </row>
    <row r="55" spans="1:27" s="1" customFormat="1" ht="15.75">
      <c r="A55" s="53">
        <v>24</v>
      </c>
      <c r="B55" s="48">
        <f>(APR!V12+APR!V13+APR!V14+APR!V15+APR!V16+APR!V17+APR!V18+APR!V19+APR!V20+APR!V23)/1000</f>
        <v>8788.0159999999996</v>
      </c>
      <c r="C55" s="36">
        <f>(APR!V21+APR!V22)/1000</f>
        <v>656.07299999999998</v>
      </c>
      <c r="D55" s="36">
        <f t="shared" si="4"/>
        <v>9444.0889999999999</v>
      </c>
      <c r="E55" s="37">
        <v>12000</v>
      </c>
      <c r="F55" s="38">
        <f t="shared" si="5"/>
        <v>0.78700741666666663</v>
      </c>
      <c r="H55" s="8" t="s">
        <v>26</v>
      </c>
      <c r="I55" s="8"/>
      <c r="J55" s="40">
        <f>J54/J53</f>
        <v>0.79391666666666671</v>
      </c>
      <c r="K55" s="8" t="s">
        <v>25</v>
      </c>
    </row>
    <row r="56" spans="1:27" s="1" customFormat="1" ht="15.75">
      <c r="A56" s="53">
        <v>25</v>
      </c>
      <c r="B56" s="48">
        <f>(APR!W12+APR!W13+APR!W14+APR!W15+APR!W16+APR!W17+APR!W18+APR!W19+APR!W20+APR!W23)/1000</f>
        <v>9450.2080000000005</v>
      </c>
      <c r="C56" s="36">
        <f>(APR!W21+APR!W22)/1000</f>
        <v>499.58600000000001</v>
      </c>
      <c r="D56" s="36">
        <f t="shared" si="4"/>
        <v>9949.7939999999999</v>
      </c>
      <c r="E56" s="37">
        <v>12000</v>
      </c>
      <c r="F56" s="38">
        <f t="shared" si="5"/>
        <v>0.82914949999999998</v>
      </c>
      <c r="H56" s="8" t="s">
        <v>27</v>
      </c>
      <c r="I56" s="8"/>
      <c r="J56" s="40">
        <f>100%-J55</f>
        <v>0.20608333333333329</v>
      </c>
      <c r="K56" s="8" t="s">
        <v>25</v>
      </c>
    </row>
    <row r="57" spans="1:27" s="1" customFormat="1" ht="15.75">
      <c r="A57" s="53">
        <v>27</v>
      </c>
      <c r="B57" s="48">
        <f>(APR!X12+APR!X13+APR!X14+APR!X15+APR!X16+APR!X17+APR!X18+APR!X19+APR!X20+APR!X23)/1000</f>
        <v>9350.1370000000006</v>
      </c>
      <c r="C57" s="36">
        <f>(APR!X21+APR!X22)/1000</f>
        <v>1323.9829999999999</v>
      </c>
      <c r="D57" s="36">
        <f t="shared" si="4"/>
        <v>10674.12</v>
      </c>
      <c r="E57" s="37">
        <v>12000</v>
      </c>
      <c r="F57" s="38">
        <f t="shared" si="5"/>
        <v>0.88951000000000002</v>
      </c>
      <c r="H57" s="8"/>
      <c r="I57" s="8"/>
      <c r="J57" s="40"/>
      <c r="K57" s="8"/>
    </row>
    <row r="58" spans="1:27" s="1" customFormat="1" ht="15.75">
      <c r="A58" s="53">
        <v>28</v>
      </c>
      <c r="B58" s="48">
        <f>(APR!Y12+APR!Y13+APR!Y14+APR!Y15+APR!Y16+APR!Y17+APR!Y18+APR!Y19+APR!Y20+APR!Y23)/1000</f>
        <v>9226.0609999999997</v>
      </c>
      <c r="C58" s="36">
        <f>(APR!Y21+APR!Y22)/1000</f>
        <v>1440.5119999999999</v>
      </c>
      <c r="D58" s="36">
        <f t="shared" si="4"/>
        <v>10666.573</v>
      </c>
      <c r="E58" s="37">
        <v>12000</v>
      </c>
      <c r="F58" s="38">
        <f t="shared" si="5"/>
        <v>0.88888108333333338</v>
      </c>
      <c r="H58" s="8"/>
      <c r="I58" s="8"/>
      <c r="J58" s="40"/>
      <c r="K58" s="8"/>
    </row>
    <row r="59" spans="1:27" s="1" customFormat="1" ht="15.75">
      <c r="A59" s="53">
        <v>29</v>
      </c>
      <c r="B59" s="48">
        <f>(APR!Z12+APR!Z13+APR!Z14+APR!Z15+APR!Z16+APR!Z17+APR!Z18+APR!Z19+APR!Z20+APR!Z23)/1000</f>
        <v>8800.2109999999993</v>
      </c>
      <c r="C59" s="36">
        <f>(APR!Z21+APR!Z22)/1000</f>
        <v>1477.0329999999999</v>
      </c>
      <c r="D59" s="36">
        <f t="shared" si="4"/>
        <v>10277.243999999999</v>
      </c>
      <c r="E59" s="37">
        <v>12000</v>
      </c>
      <c r="F59" s="38">
        <f t="shared" si="5"/>
        <v>0.85643699999999989</v>
      </c>
      <c r="H59" s="8"/>
      <c r="I59" s="8"/>
      <c r="J59" s="40"/>
      <c r="K59" s="8"/>
    </row>
    <row r="60" spans="1:27" s="1" customFormat="1" ht="15.75">
      <c r="A60" s="53">
        <v>30</v>
      </c>
      <c r="B60" s="48">
        <f>(APR!AA12+APR!AA13+APR!AA14+APR!AA15+APR!AA16+APR!AA17+APR!AA18+APR!AA19+APR!AA20+APR!AA23)/1000</f>
        <v>8368.4920000000002</v>
      </c>
      <c r="C60" s="36">
        <f>(APR!AA21+APR!AA22)/1000</f>
        <v>1406.8309999999999</v>
      </c>
      <c r="D60" s="36">
        <f t="shared" si="4"/>
        <v>9775.3230000000003</v>
      </c>
      <c r="E60" s="37">
        <v>12000</v>
      </c>
      <c r="F60" s="38">
        <f t="shared" si="5"/>
        <v>0.81461024999999998</v>
      </c>
      <c r="H60" s="8"/>
      <c r="I60" s="8"/>
      <c r="J60" s="40"/>
      <c r="K60" s="8"/>
    </row>
    <row r="61" spans="1:27" s="1" customFormat="1" ht="15.75">
      <c r="A61" s="23"/>
      <c r="B61" s="24">
        <f>AVERAGE(B36:B60)</f>
        <v>8676.3237200000021</v>
      </c>
      <c r="C61" s="24">
        <f>AVERAGE(C36:C60)</f>
        <v>850.45447999999988</v>
      </c>
      <c r="D61" s="24">
        <f>AVERAGE(D36:D60)</f>
        <v>9526.7782000000025</v>
      </c>
      <c r="E61" s="24">
        <f>AVERAGE(E36:E60)</f>
        <v>12000</v>
      </c>
      <c r="F61" s="46">
        <f>AVERAGE(F36:F60)</f>
        <v>0.79389818333333351</v>
      </c>
      <c r="H61" s="8"/>
      <c r="I61" s="8"/>
      <c r="J61" s="40"/>
      <c r="K61" s="8"/>
    </row>
    <row r="62" spans="1:27" s="1" customFormat="1" ht="15.75">
      <c r="A62" s="13" t="s">
        <v>21</v>
      </c>
      <c r="B62" s="14">
        <f>MAX(B36:B60)</f>
        <v>9612.9539999999997</v>
      </c>
      <c r="C62" s="14">
        <f>MAX(C36:C60)</f>
        <v>1477.0329999999999</v>
      </c>
      <c r="D62" s="14">
        <f>MAX(D36:D60)</f>
        <v>10815.368999999999</v>
      </c>
      <c r="E62" s="15">
        <v>12000</v>
      </c>
      <c r="F62" s="16">
        <f>D62/E62</f>
        <v>0.90128074999999985</v>
      </c>
      <c r="H62" s="8"/>
      <c r="I62" s="8"/>
      <c r="J62" s="40"/>
      <c r="K62" s="8"/>
    </row>
    <row r="63" spans="1:27" s="1" customFormat="1">
      <c r="A63" s="17"/>
      <c r="B63" s="18"/>
      <c r="C63" s="18"/>
      <c r="D63" s="18"/>
      <c r="E63" s="19"/>
      <c r="F63" s="20"/>
    </row>
    <row r="64" spans="1:27">
      <c r="A64" s="17"/>
      <c r="B64" s="18"/>
      <c r="C64" s="18"/>
      <c r="D64" s="18"/>
      <c r="E64" s="19"/>
      <c r="F64" s="20"/>
      <c r="T64" s="1"/>
      <c r="U64" s="1"/>
      <c r="V64" s="1"/>
      <c r="W64" s="1"/>
      <c r="X64" s="1"/>
      <c r="Y64" s="1"/>
      <c r="Z64" s="1"/>
      <c r="AA64" s="1"/>
    </row>
    <row r="65" spans="20:20">
      <c r="T65" s="1"/>
    </row>
    <row r="66" spans="20:20">
      <c r="T66" s="1"/>
    </row>
    <row r="67" spans="20:20">
      <c r="T67" s="1"/>
    </row>
    <row r="68" spans="20:20">
      <c r="T68" s="1"/>
    </row>
  </sheetData>
  <mergeCells count="12">
    <mergeCell ref="H54:I54"/>
    <mergeCell ref="A2:A3"/>
    <mergeCell ref="B2:C2"/>
    <mergeCell ref="D2:D3"/>
    <mergeCell ref="E2:E3"/>
    <mergeCell ref="F2:F3"/>
    <mergeCell ref="H21:I21"/>
    <mergeCell ref="A34:A35"/>
    <mergeCell ref="B34:C34"/>
    <mergeCell ref="D34:D35"/>
    <mergeCell ref="E34:E35"/>
    <mergeCell ref="F34:F35"/>
  </mergeCells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4823-BE6E-46A3-B5BE-817812F04012}">
  <sheetPr>
    <tabColor rgb="FFC6FAF0"/>
  </sheetPr>
  <dimension ref="A1:Z28"/>
  <sheetViews>
    <sheetView zoomScale="93" zoomScaleNormal="93" workbookViewId="0">
      <pane xSplit="2" ySplit="4" topLeftCell="M11" activePane="bottomRight" state="frozen"/>
      <selection activeCell="J63" sqref="J63"/>
      <selection pane="topRight" activeCell="J63" sqref="J63"/>
      <selection pane="bottomLeft" activeCell="J63" sqref="J63"/>
      <selection pane="bottomRight" activeCell="AA7" sqref="AA7"/>
    </sheetView>
  </sheetViews>
  <sheetFormatPr defaultColWidth="9.140625" defaultRowHeight="15"/>
  <cols>
    <col min="1" max="1" width="18.5703125" customWidth="1"/>
    <col min="2" max="2" width="22.85546875" customWidth="1"/>
    <col min="3" max="5" width="10.85546875" customWidth="1"/>
    <col min="6" max="6" width="10.85546875" bestFit="1" customWidth="1"/>
    <col min="7" max="8" width="10.85546875" customWidth="1"/>
    <col min="9" max="9" width="9.7109375" customWidth="1"/>
    <col min="10" max="25" width="10.85546875" customWidth="1"/>
    <col min="26" max="26" width="11.42578125" customWidth="1"/>
  </cols>
  <sheetData>
    <row r="1" spans="1:26" ht="18.75">
      <c r="A1" s="25" t="s">
        <v>53</v>
      </c>
      <c r="B1" s="26"/>
    </row>
    <row r="2" spans="1:26" ht="15.95" customHeight="1">
      <c r="A2" s="27"/>
      <c r="B2" s="28"/>
    </row>
    <row r="3" spans="1:26" ht="18.75" customHeight="1">
      <c r="A3" s="67" t="s">
        <v>0</v>
      </c>
      <c r="B3" s="67"/>
      <c r="C3" s="29">
        <v>2</v>
      </c>
      <c r="D3" s="29">
        <v>4</v>
      </c>
      <c r="E3" s="29">
        <v>5</v>
      </c>
      <c r="F3" s="29">
        <v>6</v>
      </c>
      <c r="G3" s="29">
        <v>7</v>
      </c>
      <c r="H3" s="29">
        <v>8</v>
      </c>
      <c r="I3" s="29">
        <v>9</v>
      </c>
      <c r="J3" s="29">
        <v>11</v>
      </c>
      <c r="K3" s="29">
        <v>12</v>
      </c>
      <c r="L3" s="29">
        <v>13</v>
      </c>
      <c r="M3" s="29">
        <v>15</v>
      </c>
      <c r="N3" s="29">
        <v>16</v>
      </c>
      <c r="O3" s="29">
        <v>18</v>
      </c>
      <c r="P3" s="29">
        <v>19</v>
      </c>
      <c r="Q3" s="29">
        <v>20</v>
      </c>
      <c r="R3" s="29">
        <v>21</v>
      </c>
      <c r="S3" s="29">
        <v>22</v>
      </c>
      <c r="T3" s="29">
        <v>23</v>
      </c>
      <c r="U3" s="29">
        <v>25</v>
      </c>
      <c r="V3" s="29">
        <v>26</v>
      </c>
      <c r="W3" s="29">
        <v>28</v>
      </c>
      <c r="X3" s="29">
        <v>29</v>
      </c>
      <c r="Y3" s="29">
        <v>30</v>
      </c>
      <c r="Z3" s="34" t="s">
        <v>1</v>
      </c>
    </row>
    <row r="4" spans="1:26" ht="9" customHeight="1">
      <c r="A4" s="3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34"/>
    </row>
    <row r="5" spans="1:26" ht="18.75" customHeight="1">
      <c r="A5" s="68" t="s">
        <v>2</v>
      </c>
      <c r="B5" s="31" t="s">
        <v>3</v>
      </c>
      <c r="C5" s="49">
        <v>5170225</v>
      </c>
      <c r="D5" s="32">
        <v>4775185</v>
      </c>
      <c r="E5" s="32">
        <v>6067265</v>
      </c>
      <c r="F5" s="32">
        <v>5474065</v>
      </c>
      <c r="G5" s="32">
        <v>4322080</v>
      </c>
      <c r="H5" s="32">
        <v>7281325</v>
      </c>
      <c r="I5" s="32">
        <v>8064635</v>
      </c>
      <c r="J5" s="32">
        <v>7158285</v>
      </c>
      <c r="K5" s="32">
        <v>7130945</v>
      </c>
      <c r="L5" s="32">
        <v>6529325</v>
      </c>
      <c r="M5" s="32">
        <v>6129645</v>
      </c>
      <c r="N5" s="32">
        <v>5553665</v>
      </c>
      <c r="O5" s="32">
        <v>5337685</v>
      </c>
      <c r="P5" s="32">
        <v>5385080</v>
      </c>
      <c r="Q5" s="32">
        <v>5366990</v>
      </c>
      <c r="R5" s="32">
        <v>4630385</v>
      </c>
      <c r="S5" s="32">
        <v>4123145</v>
      </c>
      <c r="T5" s="32">
        <v>4420920</v>
      </c>
      <c r="U5" s="32">
        <v>3424905</v>
      </c>
      <c r="V5" s="32">
        <v>3684470</v>
      </c>
      <c r="W5" s="32">
        <v>2576180</v>
      </c>
      <c r="X5" s="32">
        <v>2702840</v>
      </c>
      <c r="Y5" s="32">
        <v>3478050</v>
      </c>
      <c r="Z5" s="35">
        <f t="shared" ref="Z5:Z25" si="0">AVERAGE(C5:Y5)</f>
        <v>5164665</v>
      </c>
    </row>
    <row r="6" spans="1:26" ht="18.75" customHeight="1">
      <c r="A6" s="69"/>
      <c r="B6" s="31" t="s">
        <v>4</v>
      </c>
      <c r="C6" s="32">
        <v>338213</v>
      </c>
      <c r="D6" s="32">
        <v>312875</v>
      </c>
      <c r="E6" s="32">
        <v>300221</v>
      </c>
      <c r="F6" s="32">
        <v>287521</v>
      </c>
      <c r="G6" s="32">
        <v>274881</v>
      </c>
      <c r="H6" s="32">
        <v>265023</v>
      </c>
      <c r="I6" s="32">
        <v>252321</v>
      </c>
      <c r="J6" s="32">
        <v>267736</v>
      </c>
      <c r="K6" s="32">
        <v>267736</v>
      </c>
      <c r="L6" s="32">
        <v>267736</v>
      </c>
      <c r="M6" s="32">
        <v>255050</v>
      </c>
      <c r="N6" s="32">
        <v>245182</v>
      </c>
      <c r="O6" s="32">
        <v>218404</v>
      </c>
      <c r="P6" s="32">
        <v>205744</v>
      </c>
      <c r="Q6" s="32">
        <v>197330</v>
      </c>
      <c r="R6" s="32">
        <v>184636</v>
      </c>
      <c r="S6" s="32">
        <v>171960</v>
      </c>
      <c r="T6" s="32">
        <v>159300</v>
      </c>
      <c r="U6" s="32">
        <v>135350</v>
      </c>
      <c r="V6" s="32">
        <v>122678</v>
      </c>
      <c r="W6" s="32">
        <v>101643</v>
      </c>
      <c r="X6" s="32">
        <v>327822</v>
      </c>
      <c r="Y6" s="32">
        <v>345886</v>
      </c>
      <c r="Z6" s="35">
        <f t="shared" si="0"/>
        <v>239358.60869565216</v>
      </c>
    </row>
    <row r="7" spans="1:26" ht="18.75" customHeight="1">
      <c r="A7" s="69"/>
      <c r="B7" s="31" t="s">
        <v>5</v>
      </c>
      <c r="C7" s="32">
        <v>514860</v>
      </c>
      <c r="D7" s="32">
        <v>497210</v>
      </c>
      <c r="E7" s="32">
        <v>488387</v>
      </c>
      <c r="F7" s="32">
        <v>479574</v>
      </c>
      <c r="G7" s="32">
        <v>470766</v>
      </c>
      <c r="H7" s="32">
        <v>461954</v>
      </c>
      <c r="I7" s="32">
        <v>454235</v>
      </c>
      <c r="J7" s="32">
        <v>437701</v>
      </c>
      <c r="K7" s="32">
        <v>437701</v>
      </c>
      <c r="L7" s="32">
        <v>393517</v>
      </c>
      <c r="M7" s="32">
        <v>381379</v>
      </c>
      <c r="N7" s="32">
        <v>375879</v>
      </c>
      <c r="O7" s="32">
        <v>358254</v>
      </c>
      <c r="P7" s="32">
        <v>347232</v>
      </c>
      <c r="Q7" s="32">
        <v>345026</v>
      </c>
      <c r="R7" s="32">
        <v>333985</v>
      </c>
      <c r="S7" s="32">
        <v>325142</v>
      </c>
      <c r="T7" s="32">
        <v>318518</v>
      </c>
      <c r="U7" s="32">
        <v>304195</v>
      </c>
      <c r="V7" s="32">
        <v>444034</v>
      </c>
      <c r="W7" s="32">
        <v>430805</v>
      </c>
      <c r="X7" s="32">
        <v>426380</v>
      </c>
      <c r="Y7" s="32">
        <v>418674</v>
      </c>
      <c r="Z7" s="35">
        <f t="shared" si="0"/>
        <v>410669.91304347827</v>
      </c>
    </row>
    <row r="8" spans="1:26" ht="18.75" customHeight="1">
      <c r="A8" s="69"/>
      <c r="B8" s="31" t="s">
        <v>6</v>
      </c>
      <c r="C8" s="32">
        <v>3600</v>
      </c>
      <c r="D8" s="32">
        <v>2400</v>
      </c>
      <c r="E8" s="32">
        <v>1200</v>
      </c>
      <c r="F8" s="32">
        <v>4800</v>
      </c>
      <c r="G8" s="32">
        <v>4800</v>
      </c>
      <c r="H8" s="32">
        <v>4800</v>
      </c>
      <c r="I8" s="32">
        <v>4800</v>
      </c>
      <c r="J8" s="32">
        <v>1200</v>
      </c>
      <c r="K8" s="32">
        <v>1200</v>
      </c>
      <c r="L8" s="32">
        <v>4800</v>
      </c>
      <c r="M8" s="32">
        <v>4800</v>
      </c>
      <c r="N8" s="32">
        <v>4800</v>
      </c>
      <c r="O8" s="32">
        <v>2400</v>
      </c>
      <c r="P8" s="32">
        <v>2400</v>
      </c>
      <c r="Q8" s="32">
        <v>2400</v>
      </c>
      <c r="R8" s="32">
        <v>6000</v>
      </c>
      <c r="S8" s="32">
        <v>6000</v>
      </c>
      <c r="T8" s="32">
        <v>6000</v>
      </c>
      <c r="U8" s="32">
        <v>6000</v>
      </c>
      <c r="V8" s="32">
        <v>3600</v>
      </c>
      <c r="W8" s="32">
        <v>1200</v>
      </c>
      <c r="X8" s="32">
        <v>1200</v>
      </c>
      <c r="Y8" s="32">
        <v>1200</v>
      </c>
      <c r="Z8" s="35">
        <f t="shared" si="0"/>
        <v>3547.8260869565215</v>
      </c>
    </row>
    <row r="9" spans="1:26" ht="18.75" customHeight="1">
      <c r="A9" s="69"/>
      <c r="B9" s="31" t="s">
        <v>7</v>
      </c>
      <c r="C9" s="32">
        <v>22010</v>
      </c>
      <c r="D9" s="32">
        <v>19275</v>
      </c>
      <c r="E9" s="32">
        <v>17275</v>
      </c>
      <c r="F9" s="32">
        <v>24275</v>
      </c>
      <c r="G9" s="32">
        <v>21275</v>
      </c>
      <c r="H9" s="32">
        <v>20475</v>
      </c>
      <c r="I9" s="32">
        <v>16475</v>
      </c>
      <c r="J9" s="32">
        <v>13275</v>
      </c>
      <c r="K9" s="32">
        <v>12275</v>
      </c>
      <c r="L9" s="32">
        <v>18825</v>
      </c>
      <c r="M9" s="32">
        <v>18125</v>
      </c>
      <c r="N9" s="32">
        <v>14125</v>
      </c>
      <c r="O9" s="32">
        <v>9975</v>
      </c>
      <c r="P9" s="32">
        <v>7120</v>
      </c>
      <c r="Q9" s="32">
        <v>5120</v>
      </c>
      <c r="R9" s="32">
        <v>19120</v>
      </c>
      <c r="S9" s="32">
        <v>17320</v>
      </c>
      <c r="T9" s="32">
        <v>15470</v>
      </c>
      <c r="U9" s="32">
        <v>10320</v>
      </c>
      <c r="V9" s="32">
        <v>21970</v>
      </c>
      <c r="W9" s="32">
        <v>17970</v>
      </c>
      <c r="X9" s="32">
        <v>16820</v>
      </c>
      <c r="Y9" s="32">
        <v>22820</v>
      </c>
      <c r="Z9" s="35">
        <f t="shared" si="0"/>
        <v>16596.08695652174</v>
      </c>
    </row>
    <row r="10" spans="1:26" ht="18.75" customHeight="1">
      <c r="A10" s="69"/>
      <c r="B10" s="45" t="s">
        <v>29</v>
      </c>
      <c r="C10" s="44">
        <v>119719</v>
      </c>
      <c r="D10" s="44">
        <v>380962</v>
      </c>
      <c r="E10" s="44">
        <v>356752</v>
      </c>
      <c r="F10" s="44">
        <v>148212</v>
      </c>
      <c r="G10" s="44">
        <v>307763</v>
      </c>
      <c r="H10" s="44">
        <v>276767</v>
      </c>
      <c r="I10" s="44">
        <v>341602</v>
      </c>
      <c r="J10" s="44">
        <v>204803</v>
      </c>
      <c r="K10" s="44">
        <v>367113</v>
      </c>
      <c r="L10" s="44">
        <v>204112</v>
      </c>
      <c r="M10" s="44">
        <v>195184</v>
      </c>
      <c r="N10" s="44">
        <v>298254</v>
      </c>
      <c r="O10" s="44">
        <v>390335</v>
      </c>
      <c r="P10" s="44">
        <v>208400</v>
      </c>
      <c r="Q10" s="44">
        <v>237070</v>
      </c>
      <c r="R10" s="44">
        <v>280090</v>
      </c>
      <c r="S10" s="44">
        <v>268245</v>
      </c>
      <c r="T10" s="44">
        <v>254055</v>
      </c>
      <c r="U10" s="44">
        <v>361750</v>
      </c>
      <c r="V10" s="44">
        <v>378045</v>
      </c>
      <c r="W10" s="44">
        <v>279135</v>
      </c>
      <c r="X10" s="44">
        <v>269730</v>
      </c>
      <c r="Y10" s="44">
        <v>66090</v>
      </c>
      <c r="Z10" s="35">
        <f t="shared" si="0"/>
        <v>269312.52173913043</v>
      </c>
    </row>
    <row r="11" spans="1:26" ht="18.75" customHeight="1">
      <c r="A11" s="69"/>
      <c r="B11" s="45" t="s">
        <v>32</v>
      </c>
      <c r="C11" s="44">
        <v>219890</v>
      </c>
      <c r="D11" s="44">
        <v>258550</v>
      </c>
      <c r="E11" s="44">
        <v>270910</v>
      </c>
      <c r="F11" s="44">
        <v>270910</v>
      </c>
      <c r="G11" s="44">
        <v>271100</v>
      </c>
      <c r="H11" s="44">
        <v>271475</v>
      </c>
      <c r="I11" s="44">
        <v>271475</v>
      </c>
      <c r="J11" s="44">
        <v>271475</v>
      </c>
      <c r="K11" s="44">
        <v>271475</v>
      </c>
      <c r="L11" s="44">
        <v>271705</v>
      </c>
      <c r="M11" s="44">
        <v>303595</v>
      </c>
      <c r="N11" s="44">
        <v>327565</v>
      </c>
      <c r="O11" s="44">
        <v>328670</v>
      </c>
      <c r="P11" s="44">
        <v>328670</v>
      </c>
      <c r="Q11" s="44">
        <v>328845</v>
      </c>
      <c r="R11" s="44">
        <v>328845</v>
      </c>
      <c r="S11" s="44">
        <v>328845</v>
      </c>
      <c r="T11" s="44">
        <v>328845</v>
      </c>
      <c r="U11" s="44">
        <v>355910</v>
      </c>
      <c r="V11" s="44">
        <v>360440</v>
      </c>
      <c r="W11" s="44">
        <v>360440</v>
      </c>
      <c r="X11" s="44">
        <v>360440</v>
      </c>
      <c r="Y11" s="44">
        <v>360440</v>
      </c>
      <c r="Z11" s="35">
        <f t="shared" si="0"/>
        <v>306544.13043478259</v>
      </c>
    </row>
    <row r="12" spans="1:26" ht="18.75" customHeight="1">
      <c r="A12" s="70" t="s">
        <v>8</v>
      </c>
      <c r="B12" s="31" t="s">
        <v>9</v>
      </c>
      <c r="C12" s="32">
        <v>1755208</v>
      </c>
      <c r="D12" s="32">
        <v>2321042</v>
      </c>
      <c r="E12" s="32">
        <v>3264045</v>
      </c>
      <c r="F12" s="32">
        <v>3130606</v>
      </c>
      <c r="G12" s="32">
        <v>3306907</v>
      </c>
      <c r="H12" s="32">
        <v>3948659</v>
      </c>
      <c r="I12" s="32">
        <v>4325515</v>
      </c>
      <c r="J12" s="32">
        <v>5053866</v>
      </c>
      <c r="K12" s="32">
        <v>4371327</v>
      </c>
      <c r="L12" s="32">
        <v>3718324</v>
      </c>
      <c r="M12" s="32">
        <v>3651599</v>
      </c>
      <c r="N12" s="32">
        <v>3616076</v>
      </c>
      <c r="O12" s="32">
        <v>5140273</v>
      </c>
      <c r="P12" s="32">
        <v>4833250</v>
      </c>
      <c r="Q12" s="32">
        <v>4613109</v>
      </c>
      <c r="R12" s="32">
        <v>4613109</v>
      </c>
      <c r="S12" s="32">
        <v>4638661</v>
      </c>
      <c r="T12" s="32">
        <v>4968538</v>
      </c>
      <c r="U12" s="32">
        <v>5658958</v>
      </c>
      <c r="V12" s="32">
        <v>5048321</v>
      </c>
      <c r="W12" s="32">
        <v>4686645</v>
      </c>
      <c r="X12" s="32">
        <v>3964257</v>
      </c>
      <c r="Y12" s="32">
        <v>3581170</v>
      </c>
      <c r="Z12" s="35">
        <f t="shared" si="0"/>
        <v>4096063.6956521738</v>
      </c>
    </row>
    <row r="13" spans="1:26" ht="18.75" customHeight="1">
      <c r="A13" s="71"/>
      <c r="B13" s="31" t="s">
        <v>33</v>
      </c>
      <c r="C13" s="32">
        <v>522787</v>
      </c>
      <c r="D13" s="32">
        <v>532781</v>
      </c>
      <c r="E13" s="32">
        <v>532781</v>
      </c>
      <c r="F13" s="32">
        <v>496678</v>
      </c>
      <c r="G13" s="32">
        <v>511513</v>
      </c>
      <c r="H13" s="32">
        <v>496442</v>
      </c>
      <c r="I13" s="32">
        <v>485024</v>
      </c>
      <c r="J13" s="32">
        <v>498188</v>
      </c>
      <c r="K13" s="32">
        <v>516164</v>
      </c>
      <c r="L13" s="32">
        <v>517658</v>
      </c>
      <c r="M13" s="32">
        <v>613772</v>
      </c>
      <c r="N13" s="32">
        <v>504390</v>
      </c>
      <c r="O13" s="32">
        <v>612090</v>
      </c>
      <c r="P13" s="32">
        <v>525697</v>
      </c>
      <c r="Q13" s="32">
        <v>553141</v>
      </c>
      <c r="R13" s="32">
        <v>553141</v>
      </c>
      <c r="S13" s="32">
        <v>461955</v>
      </c>
      <c r="T13" s="32">
        <v>480148</v>
      </c>
      <c r="U13" s="32">
        <v>499383</v>
      </c>
      <c r="V13" s="32">
        <v>508583</v>
      </c>
      <c r="W13" s="32">
        <v>485951</v>
      </c>
      <c r="X13" s="32">
        <v>454901</v>
      </c>
      <c r="Y13" s="32">
        <v>454901</v>
      </c>
      <c r="Z13" s="35">
        <f t="shared" si="0"/>
        <v>513829.08695652173</v>
      </c>
    </row>
    <row r="14" spans="1:26" ht="18.75" customHeight="1">
      <c r="A14" s="71"/>
      <c r="B14" s="31" t="s">
        <v>34</v>
      </c>
      <c r="C14" s="32">
        <v>54369</v>
      </c>
      <c r="D14" s="32">
        <v>54369</v>
      </c>
      <c r="E14" s="32">
        <v>54369</v>
      </c>
      <c r="F14" s="32">
        <v>45938</v>
      </c>
      <c r="G14" s="32">
        <v>17652</v>
      </c>
      <c r="H14" s="32">
        <v>30756</v>
      </c>
      <c r="I14" s="32">
        <v>27256</v>
      </c>
      <c r="J14" s="32">
        <v>27256</v>
      </c>
      <c r="K14" s="32">
        <v>24938</v>
      </c>
      <c r="L14" s="32">
        <v>24941</v>
      </c>
      <c r="M14" s="32">
        <v>24941</v>
      </c>
      <c r="N14" s="32">
        <v>24941</v>
      </c>
      <c r="O14" s="32">
        <v>24941</v>
      </c>
      <c r="P14" s="32">
        <v>24941</v>
      </c>
      <c r="Q14" s="32">
        <v>21525</v>
      </c>
      <c r="R14" s="32">
        <v>21525</v>
      </c>
      <c r="S14" s="32">
        <v>21525</v>
      </c>
      <c r="T14" s="32">
        <v>21525</v>
      </c>
      <c r="U14" s="32">
        <v>29731</v>
      </c>
      <c r="V14" s="32">
        <v>51655</v>
      </c>
      <c r="W14" s="32">
        <v>72524</v>
      </c>
      <c r="X14" s="32">
        <v>69780</v>
      </c>
      <c r="Y14" s="32">
        <v>61574</v>
      </c>
      <c r="Z14" s="35">
        <f t="shared" si="0"/>
        <v>36216.17391304348</v>
      </c>
    </row>
    <row r="15" spans="1:26" ht="18.75" customHeight="1">
      <c r="A15" s="71"/>
      <c r="B15" s="31" t="s">
        <v>35</v>
      </c>
      <c r="C15" s="32">
        <v>315495</v>
      </c>
      <c r="D15" s="32">
        <v>315495</v>
      </c>
      <c r="E15" s="32">
        <v>315495</v>
      </c>
      <c r="F15" s="32">
        <v>315495</v>
      </c>
      <c r="G15" s="32">
        <v>312667</v>
      </c>
      <c r="H15" s="32">
        <v>312667</v>
      </c>
      <c r="I15" s="32">
        <v>308342</v>
      </c>
      <c r="J15" s="32">
        <v>308342</v>
      </c>
      <c r="K15" s="32">
        <v>507011</v>
      </c>
      <c r="L15" s="32">
        <v>975220</v>
      </c>
      <c r="M15" s="32">
        <v>1036792</v>
      </c>
      <c r="N15" s="32">
        <v>1143584</v>
      </c>
      <c r="O15" s="32">
        <v>1117407</v>
      </c>
      <c r="P15" s="32">
        <v>1128164</v>
      </c>
      <c r="Q15" s="32">
        <v>1026317</v>
      </c>
      <c r="R15" s="32">
        <v>1026317</v>
      </c>
      <c r="S15" s="32">
        <v>1029821</v>
      </c>
      <c r="T15" s="32">
        <v>861795</v>
      </c>
      <c r="U15" s="32">
        <v>861795</v>
      </c>
      <c r="V15" s="32">
        <v>813342</v>
      </c>
      <c r="W15" s="32">
        <v>829933</v>
      </c>
      <c r="X15" s="32">
        <v>708820</v>
      </c>
      <c r="Y15" s="32">
        <v>571878</v>
      </c>
      <c r="Z15" s="35">
        <f t="shared" si="0"/>
        <v>701834.52173913049</v>
      </c>
    </row>
    <row r="16" spans="1:26" ht="18.75" customHeight="1">
      <c r="A16" s="71"/>
      <c r="B16" s="31" t="s">
        <v>37</v>
      </c>
      <c r="C16" s="32">
        <v>1482803</v>
      </c>
      <c r="D16" s="32">
        <v>1482803</v>
      </c>
      <c r="E16" s="32">
        <v>1482803</v>
      </c>
      <c r="F16" s="32">
        <v>1482803</v>
      </c>
      <c r="G16" s="32">
        <v>1324153</v>
      </c>
      <c r="H16" s="32">
        <v>1324153</v>
      </c>
      <c r="I16" s="32">
        <v>1311430</v>
      </c>
      <c r="J16" s="32">
        <v>1311430</v>
      </c>
      <c r="K16" s="32">
        <v>1412919</v>
      </c>
      <c r="L16" s="32">
        <v>1463554</v>
      </c>
      <c r="M16" s="32">
        <v>1434530</v>
      </c>
      <c r="N16" s="32">
        <v>1356388</v>
      </c>
      <c r="O16" s="32">
        <v>1356388</v>
      </c>
      <c r="P16" s="32">
        <v>1356388</v>
      </c>
      <c r="Q16" s="32">
        <v>1356388</v>
      </c>
      <c r="R16" s="32">
        <v>1356388</v>
      </c>
      <c r="S16" s="32">
        <v>1356388</v>
      </c>
      <c r="T16" s="32">
        <v>1356388</v>
      </c>
      <c r="U16" s="32">
        <v>1356388</v>
      </c>
      <c r="V16" s="32">
        <v>1157947</v>
      </c>
      <c r="W16" s="32">
        <v>1073632</v>
      </c>
      <c r="X16" s="32">
        <v>1073632</v>
      </c>
      <c r="Y16" s="32">
        <v>1073632</v>
      </c>
      <c r="Z16" s="35">
        <f t="shared" si="0"/>
        <v>1336666.4347826086</v>
      </c>
    </row>
    <row r="17" spans="1:26" ht="18.75" customHeight="1">
      <c r="A17" s="71"/>
      <c r="B17" s="47" t="s">
        <v>36</v>
      </c>
      <c r="C17" s="32">
        <v>2903987</v>
      </c>
      <c r="D17" s="32">
        <v>2651269</v>
      </c>
      <c r="E17" s="32">
        <v>2651269</v>
      </c>
      <c r="F17" s="32">
        <v>2331921</v>
      </c>
      <c r="G17" s="32">
        <v>2331921</v>
      </c>
      <c r="H17" s="32">
        <v>2331921</v>
      </c>
      <c r="I17" s="32">
        <v>2404984</v>
      </c>
      <c r="J17" s="32">
        <v>2404984</v>
      </c>
      <c r="K17" s="32">
        <v>2404984</v>
      </c>
      <c r="L17" s="32">
        <v>2335858</v>
      </c>
      <c r="M17" s="32">
        <v>2311396</v>
      </c>
      <c r="N17" s="32">
        <v>2242712</v>
      </c>
      <c r="O17" s="32">
        <v>2242712</v>
      </c>
      <c r="P17" s="32">
        <v>2242712</v>
      </c>
      <c r="Q17" s="32">
        <v>2242712</v>
      </c>
      <c r="R17" s="32">
        <v>2080486</v>
      </c>
      <c r="S17" s="32">
        <v>2242712</v>
      </c>
      <c r="T17" s="32">
        <v>2242712</v>
      </c>
      <c r="U17" s="32">
        <v>2242712</v>
      </c>
      <c r="V17" s="32">
        <v>2242712</v>
      </c>
      <c r="W17" s="32">
        <v>2242712</v>
      </c>
      <c r="X17" s="32">
        <v>2242712</v>
      </c>
      <c r="Y17" s="32">
        <v>2242712</v>
      </c>
      <c r="Z17" s="35">
        <f t="shared" si="0"/>
        <v>2339774.4347826089</v>
      </c>
    </row>
    <row r="18" spans="1:26" ht="18.75" customHeight="1">
      <c r="A18" s="71"/>
      <c r="B18" s="31" t="s">
        <v>10</v>
      </c>
      <c r="C18" s="32">
        <v>730319</v>
      </c>
      <c r="D18" s="32">
        <v>737468</v>
      </c>
      <c r="E18" s="32">
        <v>737468</v>
      </c>
      <c r="F18" s="32">
        <v>737468</v>
      </c>
      <c r="G18" s="32">
        <v>737468</v>
      </c>
      <c r="H18" s="32">
        <v>733140</v>
      </c>
      <c r="I18" s="32">
        <v>260236</v>
      </c>
      <c r="J18" s="32">
        <v>260236</v>
      </c>
      <c r="K18" s="32">
        <v>260236</v>
      </c>
      <c r="L18" s="32">
        <v>742080</v>
      </c>
      <c r="M18" s="32">
        <v>742080</v>
      </c>
      <c r="N18" s="32">
        <v>742080</v>
      </c>
      <c r="O18" s="32">
        <v>742080</v>
      </c>
      <c r="P18" s="32">
        <v>742080</v>
      </c>
      <c r="Q18" s="32">
        <v>742080</v>
      </c>
      <c r="R18" s="32">
        <v>742080</v>
      </c>
      <c r="S18" s="32">
        <v>742080</v>
      </c>
      <c r="T18" s="32">
        <v>746697</v>
      </c>
      <c r="U18" s="32">
        <v>746697</v>
      </c>
      <c r="V18" s="32">
        <v>648769</v>
      </c>
      <c r="W18" s="32">
        <v>648769</v>
      </c>
      <c r="X18" s="32">
        <v>547038</v>
      </c>
      <c r="Y18" s="32">
        <v>547038</v>
      </c>
      <c r="Z18" s="35">
        <f t="shared" si="0"/>
        <v>652855.95652173914</v>
      </c>
    </row>
    <row r="19" spans="1:26" ht="18.75" customHeight="1">
      <c r="A19" s="71"/>
      <c r="B19" s="31" t="s">
        <v>11</v>
      </c>
      <c r="C19" s="32">
        <v>204364</v>
      </c>
      <c r="D19" s="32">
        <v>198218</v>
      </c>
      <c r="E19" s="32">
        <v>198218</v>
      </c>
      <c r="F19" s="32">
        <v>198218</v>
      </c>
      <c r="G19" s="32">
        <v>198218</v>
      </c>
      <c r="H19" s="32">
        <v>198218</v>
      </c>
      <c r="I19" s="32">
        <v>63097</v>
      </c>
      <c r="J19" s="32">
        <v>63097</v>
      </c>
      <c r="K19" s="32">
        <v>63097</v>
      </c>
      <c r="L19" s="32">
        <v>197775</v>
      </c>
      <c r="M19" s="32">
        <v>197775</v>
      </c>
      <c r="N19" s="32">
        <v>197775</v>
      </c>
      <c r="O19" s="32">
        <v>197775</v>
      </c>
      <c r="P19" s="32">
        <v>197775</v>
      </c>
      <c r="Q19" s="32">
        <v>197775</v>
      </c>
      <c r="R19" s="32">
        <v>197775</v>
      </c>
      <c r="S19" s="32">
        <v>197775</v>
      </c>
      <c r="T19" s="32">
        <v>161978</v>
      </c>
      <c r="U19" s="32">
        <v>161978</v>
      </c>
      <c r="V19" s="32">
        <v>138475</v>
      </c>
      <c r="W19" s="32">
        <v>138475</v>
      </c>
      <c r="X19" s="32">
        <v>21868</v>
      </c>
      <c r="Y19" s="32">
        <v>21868</v>
      </c>
      <c r="Z19" s="35">
        <f t="shared" si="0"/>
        <v>157025.52173913043</v>
      </c>
    </row>
    <row r="20" spans="1:26" ht="18.75" customHeight="1">
      <c r="A20" s="71"/>
      <c r="B20" s="31" t="s">
        <v>12</v>
      </c>
      <c r="C20" s="32">
        <v>1416671</v>
      </c>
      <c r="D20" s="32">
        <v>1306846</v>
      </c>
      <c r="E20" s="32">
        <v>1596163</v>
      </c>
      <c r="F20" s="32">
        <v>1660130</v>
      </c>
      <c r="G20" s="32">
        <v>1801842</v>
      </c>
      <c r="H20" s="32">
        <v>1829871</v>
      </c>
      <c r="I20" s="32">
        <v>1836657</v>
      </c>
      <c r="J20" s="32">
        <v>1903193</v>
      </c>
      <c r="K20" s="32">
        <v>1989152</v>
      </c>
      <c r="L20" s="32">
        <v>2009776</v>
      </c>
      <c r="M20" s="32">
        <v>1880244</v>
      </c>
      <c r="N20" s="32">
        <v>1836388</v>
      </c>
      <c r="O20" s="32">
        <v>1704464</v>
      </c>
      <c r="P20" s="32">
        <v>1709646</v>
      </c>
      <c r="Q20" s="32">
        <v>1694087</v>
      </c>
      <c r="R20" s="32">
        <v>1714635</v>
      </c>
      <c r="S20" s="32">
        <v>1802687</v>
      </c>
      <c r="T20" s="32">
        <v>1675176</v>
      </c>
      <c r="U20" s="32">
        <v>1669737</v>
      </c>
      <c r="V20" s="32">
        <v>1662831</v>
      </c>
      <c r="W20" s="32">
        <v>1772944</v>
      </c>
      <c r="X20" s="32">
        <v>1813383</v>
      </c>
      <c r="Y20" s="32">
        <v>1920849</v>
      </c>
      <c r="Z20" s="35">
        <f t="shared" si="0"/>
        <v>1748146.6086956521</v>
      </c>
    </row>
    <row r="21" spans="1:26" ht="18.75" customHeight="1">
      <c r="A21" s="71"/>
      <c r="B21" s="45" t="s">
        <v>29</v>
      </c>
      <c r="C21" s="44">
        <v>1220413</v>
      </c>
      <c r="D21" s="44">
        <v>1335319</v>
      </c>
      <c r="E21" s="44">
        <v>1016056</v>
      </c>
      <c r="F21" s="44">
        <v>946959</v>
      </c>
      <c r="G21" s="44">
        <v>841639</v>
      </c>
      <c r="H21" s="44">
        <v>757262</v>
      </c>
      <c r="I21" s="44">
        <v>694197</v>
      </c>
      <c r="J21" s="44">
        <v>579975</v>
      </c>
      <c r="K21" s="44">
        <v>431526</v>
      </c>
      <c r="L21" s="44">
        <v>272432</v>
      </c>
      <c r="M21" s="44">
        <v>296553</v>
      </c>
      <c r="N21" s="44">
        <v>384281</v>
      </c>
      <c r="O21" s="44">
        <v>300453</v>
      </c>
      <c r="P21" s="44">
        <v>974646</v>
      </c>
      <c r="Q21" s="44">
        <v>817110</v>
      </c>
      <c r="R21" s="44">
        <v>1064328</v>
      </c>
      <c r="S21" s="44">
        <v>895161</v>
      </c>
      <c r="T21" s="44">
        <v>827308</v>
      </c>
      <c r="U21" s="44">
        <v>1104295</v>
      </c>
      <c r="V21" s="44">
        <v>943810</v>
      </c>
      <c r="W21" s="44">
        <v>1099260</v>
      </c>
      <c r="X21" s="44">
        <v>1058098</v>
      </c>
      <c r="Y21" s="44">
        <v>784698</v>
      </c>
      <c r="Z21" s="35">
        <f t="shared" si="0"/>
        <v>810686.04347826086</v>
      </c>
    </row>
    <row r="22" spans="1:26" ht="18.75" customHeight="1">
      <c r="A22" s="71"/>
      <c r="B22" s="45" t="s">
        <v>32</v>
      </c>
      <c r="C22" s="44">
        <v>128222</v>
      </c>
      <c r="D22" s="44">
        <v>109723</v>
      </c>
      <c r="E22" s="44">
        <v>121493</v>
      </c>
      <c r="F22" s="44">
        <v>129036</v>
      </c>
      <c r="G22" s="44">
        <v>132802</v>
      </c>
      <c r="H22" s="44">
        <v>121477</v>
      </c>
      <c r="I22" s="44">
        <v>134216</v>
      </c>
      <c r="J22" s="44">
        <v>114370</v>
      </c>
      <c r="K22" s="44">
        <v>86673</v>
      </c>
      <c r="L22" s="44">
        <v>188993</v>
      </c>
      <c r="M22" s="44">
        <v>170838</v>
      </c>
      <c r="N22" s="44">
        <v>159998</v>
      </c>
      <c r="O22" s="44">
        <v>138559</v>
      </c>
      <c r="P22" s="44">
        <v>144956</v>
      </c>
      <c r="Q22" s="44">
        <v>149766</v>
      </c>
      <c r="R22" s="44">
        <v>149766</v>
      </c>
      <c r="S22" s="44">
        <v>165296</v>
      </c>
      <c r="T22" s="44">
        <v>155648</v>
      </c>
      <c r="U22" s="44">
        <v>155648</v>
      </c>
      <c r="V22" s="44">
        <v>168490</v>
      </c>
      <c r="W22" s="44">
        <v>167156</v>
      </c>
      <c r="X22" s="44">
        <v>185020</v>
      </c>
      <c r="Y22" s="44">
        <v>185020</v>
      </c>
      <c r="Z22" s="35">
        <f t="shared" si="0"/>
        <v>146224.60869565216</v>
      </c>
    </row>
    <row r="23" spans="1:26" ht="18.75" customHeight="1">
      <c r="A23" s="72"/>
      <c r="B23" s="31" t="s">
        <v>14</v>
      </c>
      <c r="C23" s="49">
        <v>260669</v>
      </c>
      <c r="D23" s="32">
        <v>266660</v>
      </c>
      <c r="E23" s="32">
        <v>266905</v>
      </c>
      <c r="F23" s="32">
        <v>266905</v>
      </c>
      <c r="G23" s="32">
        <v>266905</v>
      </c>
      <c r="H23" s="32">
        <v>266905</v>
      </c>
      <c r="I23" s="32">
        <v>267128</v>
      </c>
      <c r="J23" s="32">
        <v>267128</v>
      </c>
      <c r="K23" s="32">
        <v>267128</v>
      </c>
      <c r="L23" s="32">
        <v>271285</v>
      </c>
      <c r="M23" s="32">
        <v>274983</v>
      </c>
      <c r="N23" s="32">
        <v>274983</v>
      </c>
      <c r="O23" s="32">
        <v>279980</v>
      </c>
      <c r="P23" s="32">
        <v>279980</v>
      </c>
      <c r="Q23" s="32">
        <v>279980</v>
      </c>
      <c r="R23" s="32">
        <v>279980</v>
      </c>
      <c r="S23" s="32">
        <v>279980</v>
      </c>
      <c r="T23" s="32">
        <v>279980</v>
      </c>
      <c r="U23" s="32">
        <v>279980</v>
      </c>
      <c r="V23" s="32">
        <v>21499</v>
      </c>
      <c r="W23" s="32">
        <v>25007</v>
      </c>
      <c r="X23" s="32">
        <v>25007</v>
      </c>
      <c r="Y23" s="32">
        <v>25007</v>
      </c>
      <c r="Z23" s="35">
        <f t="shared" si="0"/>
        <v>229302.78260869565</v>
      </c>
    </row>
    <row r="24" spans="1:26" ht="18.75" customHeight="1">
      <c r="A24" s="73" t="s">
        <v>13</v>
      </c>
      <c r="B24" s="31" t="s">
        <v>15</v>
      </c>
      <c r="C24" s="32">
        <v>5565</v>
      </c>
      <c r="D24" s="32">
        <v>1706</v>
      </c>
      <c r="E24" s="32">
        <v>1706</v>
      </c>
      <c r="F24" s="32">
        <v>1706</v>
      </c>
      <c r="G24" s="32">
        <v>1706</v>
      </c>
      <c r="H24" s="32">
        <v>2798.5</v>
      </c>
      <c r="I24" s="32">
        <v>3384.5</v>
      </c>
      <c r="J24" s="32">
        <v>3384.5</v>
      </c>
      <c r="K24" s="32">
        <v>3384.5</v>
      </c>
      <c r="L24" s="32">
        <v>5019.5</v>
      </c>
      <c r="M24" s="32">
        <v>5019.5</v>
      </c>
      <c r="N24" s="32">
        <v>6479.1</v>
      </c>
      <c r="O24" s="32">
        <v>6479.1</v>
      </c>
      <c r="P24" s="32">
        <v>6479.1</v>
      </c>
      <c r="Q24" s="32">
        <v>6479.1</v>
      </c>
      <c r="R24" s="32">
        <v>656</v>
      </c>
      <c r="S24" s="32">
        <v>656</v>
      </c>
      <c r="T24" s="32">
        <v>656</v>
      </c>
      <c r="U24" s="32">
        <v>656</v>
      </c>
      <c r="V24" s="32">
        <v>2027.5</v>
      </c>
      <c r="W24" s="32">
        <v>2661.5</v>
      </c>
      <c r="X24" s="32">
        <v>2661.5</v>
      </c>
      <c r="Y24" s="32">
        <v>2661.5</v>
      </c>
      <c r="Z24" s="35">
        <f t="shared" si="0"/>
        <v>3214.4521739130432</v>
      </c>
    </row>
    <row r="25" spans="1:26" ht="18.75" customHeight="1">
      <c r="A25" s="74"/>
      <c r="B25" s="31" t="s">
        <v>16</v>
      </c>
      <c r="C25" s="32">
        <v>21783</v>
      </c>
      <c r="D25" s="32">
        <v>21783</v>
      </c>
      <c r="E25" s="32">
        <v>21783</v>
      </c>
      <c r="F25" s="32">
        <v>21783</v>
      </c>
      <c r="G25" s="32">
        <v>21783</v>
      </c>
      <c r="H25" s="32">
        <v>21783</v>
      </c>
      <c r="I25" s="32">
        <v>21783</v>
      </c>
      <c r="J25" s="32">
        <v>21783</v>
      </c>
      <c r="K25" s="32">
        <v>21783</v>
      </c>
      <c r="L25" s="32">
        <v>21783</v>
      </c>
      <c r="M25" s="32">
        <v>21783</v>
      </c>
      <c r="N25" s="32">
        <v>21783</v>
      </c>
      <c r="O25" s="32">
        <v>21783</v>
      </c>
      <c r="P25" s="32">
        <v>21783</v>
      </c>
      <c r="Q25" s="32">
        <v>21783</v>
      </c>
      <c r="R25" s="32">
        <v>21783</v>
      </c>
      <c r="S25" s="32">
        <v>21783</v>
      </c>
      <c r="T25" s="32">
        <v>21783</v>
      </c>
      <c r="U25" s="32">
        <v>21783</v>
      </c>
      <c r="V25" s="32">
        <v>21783</v>
      </c>
      <c r="W25" s="32">
        <v>21783</v>
      </c>
      <c r="X25" s="32">
        <v>21783</v>
      </c>
      <c r="Y25" s="32">
        <v>21783</v>
      </c>
      <c r="Z25" s="35">
        <f t="shared" si="0"/>
        <v>21783</v>
      </c>
    </row>
    <row r="27" spans="1:26">
      <c r="A27" s="28"/>
    </row>
    <row r="28" spans="1:26">
      <c r="A28" s="33"/>
    </row>
  </sheetData>
  <mergeCells count="4">
    <mergeCell ref="A3:B3"/>
    <mergeCell ref="A5:A11"/>
    <mergeCell ref="A12:A23"/>
    <mergeCell ref="A24:A25"/>
  </mergeCells>
  <pageMargins left="0.75" right="0.75" top="1" bottom="1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8EF6-8FCB-4A76-9152-8757F8272300}">
  <sheetPr>
    <tabColor rgb="FFC6FAF0"/>
  </sheetPr>
  <dimension ref="A1:AA64"/>
  <sheetViews>
    <sheetView topLeftCell="A10" workbookViewId="0">
      <selection activeCell="N22" sqref="N22"/>
    </sheetView>
  </sheetViews>
  <sheetFormatPr defaultColWidth="9" defaultRowHeight="15"/>
  <cols>
    <col min="1" max="1" width="14.28515625" style="2" customWidth="1"/>
    <col min="2" max="4" width="13.85546875" style="2" customWidth="1"/>
    <col min="5" max="5" width="15.42578125" style="2" customWidth="1"/>
    <col min="6" max="6" width="14.85546875" style="2" customWidth="1"/>
    <col min="7" max="8" width="12.42578125" style="1" customWidth="1"/>
    <col min="9" max="9" width="11.42578125" style="1" customWidth="1"/>
    <col min="10" max="10" width="9.7109375" style="1" bestFit="1" customWidth="1"/>
    <col min="11" max="19" width="9" style="1"/>
    <col min="20" max="257" width="9" style="2"/>
    <col min="258" max="261" width="15.42578125" style="2" customWidth="1"/>
    <col min="262" max="262" width="14" style="2" customWidth="1"/>
    <col min="263" max="263" width="12.42578125" style="2" customWidth="1"/>
    <col min="264" max="264" width="12.28515625" style="2" customWidth="1"/>
    <col min="265" max="265" width="12.140625" style="2" customWidth="1"/>
    <col min="266" max="513" width="9" style="2"/>
    <col min="514" max="517" width="15.42578125" style="2" customWidth="1"/>
    <col min="518" max="518" width="14" style="2" customWidth="1"/>
    <col min="519" max="519" width="12.42578125" style="2" customWidth="1"/>
    <col min="520" max="520" width="12.28515625" style="2" customWidth="1"/>
    <col min="521" max="521" width="12.140625" style="2" customWidth="1"/>
    <col min="522" max="769" width="9" style="2"/>
    <col min="770" max="773" width="15.42578125" style="2" customWidth="1"/>
    <col min="774" max="774" width="14" style="2" customWidth="1"/>
    <col min="775" max="775" width="12.42578125" style="2" customWidth="1"/>
    <col min="776" max="776" width="12.28515625" style="2" customWidth="1"/>
    <col min="777" max="777" width="12.140625" style="2" customWidth="1"/>
    <col min="778" max="1025" width="9" style="2"/>
    <col min="1026" max="1029" width="15.42578125" style="2" customWidth="1"/>
    <col min="1030" max="1030" width="14" style="2" customWidth="1"/>
    <col min="1031" max="1031" width="12.42578125" style="2" customWidth="1"/>
    <col min="1032" max="1032" width="12.28515625" style="2" customWidth="1"/>
    <col min="1033" max="1033" width="12.140625" style="2" customWidth="1"/>
    <col min="1034" max="1281" width="9" style="2"/>
    <col min="1282" max="1285" width="15.42578125" style="2" customWidth="1"/>
    <col min="1286" max="1286" width="14" style="2" customWidth="1"/>
    <col min="1287" max="1287" width="12.42578125" style="2" customWidth="1"/>
    <col min="1288" max="1288" width="12.28515625" style="2" customWidth="1"/>
    <col min="1289" max="1289" width="12.140625" style="2" customWidth="1"/>
    <col min="1290" max="1537" width="9" style="2"/>
    <col min="1538" max="1541" width="15.42578125" style="2" customWidth="1"/>
    <col min="1542" max="1542" width="14" style="2" customWidth="1"/>
    <col min="1543" max="1543" width="12.42578125" style="2" customWidth="1"/>
    <col min="1544" max="1544" width="12.28515625" style="2" customWidth="1"/>
    <col min="1545" max="1545" width="12.140625" style="2" customWidth="1"/>
    <col min="1546" max="1793" width="9" style="2"/>
    <col min="1794" max="1797" width="15.42578125" style="2" customWidth="1"/>
    <col min="1798" max="1798" width="14" style="2" customWidth="1"/>
    <col min="1799" max="1799" width="12.42578125" style="2" customWidth="1"/>
    <col min="1800" max="1800" width="12.28515625" style="2" customWidth="1"/>
    <col min="1801" max="1801" width="12.140625" style="2" customWidth="1"/>
    <col min="1802" max="2049" width="9" style="2"/>
    <col min="2050" max="2053" width="15.42578125" style="2" customWidth="1"/>
    <col min="2054" max="2054" width="14" style="2" customWidth="1"/>
    <col min="2055" max="2055" width="12.42578125" style="2" customWidth="1"/>
    <col min="2056" max="2056" width="12.28515625" style="2" customWidth="1"/>
    <col min="2057" max="2057" width="12.140625" style="2" customWidth="1"/>
    <col min="2058" max="2305" width="9" style="2"/>
    <col min="2306" max="2309" width="15.42578125" style="2" customWidth="1"/>
    <col min="2310" max="2310" width="14" style="2" customWidth="1"/>
    <col min="2311" max="2311" width="12.42578125" style="2" customWidth="1"/>
    <col min="2312" max="2312" width="12.28515625" style="2" customWidth="1"/>
    <col min="2313" max="2313" width="12.140625" style="2" customWidth="1"/>
    <col min="2314" max="2561" width="9" style="2"/>
    <col min="2562" max="2565" width="15.42578125" style="2" customWidth="1"/>
    <col min="2566" max="2566" width="14" style="2" customWidth="1"/>
    <col min="2567" max="2567" width="12.42578125" style="2" customWidth="1"/>
    <col min="2568" max="2568" width="12.28515625" style="2" customWidth="1"/>
    <col min="2569" max="2569" width="12.140625" style="2" customWidth="1"/>
    <col min="2570" max="2817" width="9" style="2"/>
    <col min="2818" max="2821" width="15.42578125" style="2" customWidth="1"/>
    <col min="2822" max="2822" width="14" style="2" customWidth="1"/>
    <col min="2823" max="2823" width="12.42578125" style="2" customWidth="1"/>
    <col min="2824" max="2824" width="12.28515625" style="2" customWidth="1"/>
    <col min="2825" max="2825" width="12.140625" style="2" customWidth="1"/>
    <col min="2826" max="3073" width="9" style="2"/>
    <col min="3074" max="3077" width="15.42578125" style="2" customWidth="1"/>
    <col min="3078" max="3078" width="14" style="2" customWidth="1"/>
    <col min="3079" max="3079" width="12.42578125" style="2" customWidth="1"/>
    <col min="3080" max="3080" width="12.28515625" style="2" customWidth="1"/>
    <col min="3081" max="3081" width="12.140625" style="2" customWidth="1"/>
    <col min="3082" max="3329" width="9" style="2"/>
    <col min="3330" max="3333" width="15.42578125" style="2" customWidth="1"/>
    <col min="3334" max="3334" width="14" style="2" customWidth="1"/>
    <col min="3335" max="3335" width="12.42578125" style="2" customWidth="1"/>
    <col min="3336" max="3336" width="12.28515625" style="2" customWidth="1"/>
    <col min="3337" max="3337" width="12.140625" style="2" customWidth="1"/>
    <col min="3338" max="3585" width="9" style="2"/>
    <col min="3586" max="3589" width="15.42578125" style="2" customWidth="1"/>
    <col min="3590" max="3590" width="14" style="2" customWidth="1"/>
    <col min="3591" max="3591" width="12.42578125" style="2" customWidth="1"/>
    <col min="3592" max="3592" width="12.28515625" style="2" customWidth="1"/>
    <col min="3593" max="3593" width="12.140625" style="2" customWidth="1"/>
    <col min="3594" max="3841" width="9" style="2"/>
    <col min="3842" max="3845" width="15.42578125" style="2" customWidth="1"/>
    <col min="3846" max="3846" width="14" style="2" customWidth="1"/>
    <col min="3847" max="3847" width="12.42578125" style="2" customWidth="1"/>
    <col min="3848" max="3848" width="12.28515625" style="2" customWidth="1"/>
    <col min="3849" max="3849" width="12.140625" style="2" customWidth="1"/>
    <col min="3850" max="4097" width="9" style="2"/>
    <col min="4098" max="4101" width="15.42578125" style="2" customWidth="1"/>
    <col min="4102" max="4102" width="14" style="2" customWidth="1"/>
    <col min="4103" max="4103" width="12.42578125" style="2" customWidth="1"/>
    <col min="4104" max="4104" width="12.28515625" style="2" customWidth="1"/>
    <col min="4105" max="4105" width="12.140625" style="2" customWidth="1"/>
    <col min="4106" max="4353" width="9" style="2"/>
    <col min="4354" max="4357" width="15.42578125" style="2" customWidth="1"/>
    <col min="4358" max="4358" width="14" style="2" customWidth="1"/>
    <col min="4359" max="4359" width="12.42578125" style="2" customWidth="1"/>
    <col min="4360" max="4360" width="12.28515625" style="2" customWidth="1"/>
    <col min="4361" max="4361" width="12.140625" style="2" customWidth="1"/>
    <col min="4362" max="4609" width="9" style="2"/>
    <col min="4610" max="4613" width="15.42578125" style="2" customWidth="1"/>
    <col min="4614" max="4614" width="14" style="2" customWidth="1"/>
    <col min="4615" max="4615" width="12.42578125" style="2" customWidth="1"/>
    <col min="4616" max="4616" width="12.28515625" style="2" customWidth="1"/>
    <col min="4617" max="4617" width="12.140625" style="2" customWidth="1"/>
    <col min="4618" max="4865" width="9" style="2"/>
    <col min="4866" max="4869" width="15.42578125" style="2" customWidth="1"/>
    <col min="4870" max="4870" width="14" style="2" customWidth="1"/>
    <col min="4871" max="4871" width="12.42578125" style="2" customWidth="1"/>
    <col min="4872" max="4872" width="12.28515625" style="2" customWidth="1"/>
    <col min="4873" max="4873" width="12.140625" style="2" customWidth="1"/>
    <col min="4874" max="5121" width="9" style="2"/>
    <col min="5122" max="5125" width="15.42578125" style="2" customWidth="1"/>
    <col min="5126" max="5126" width="14" style="2" customWidth="1"/>
    <col min="5127" max="5127" width="12.42578125" style="2" customWidth="1"/>
    <col min="5128" max="5128" width="12.28515625" style="2" customWidth="1"/>
    <col min="5129" max="5129" width="12.140625" style="2" customWidth="1"/>
    <col min="5130" max="5377" width="9" style="2"/>
    <col min="5378" max="5381" width="15.42578125" style="2" customWidth="1"/>
    <col min="5382" max="5382" width="14" style="2" customWidth="1"/>
    <col min="5383" max="5383" width="12.42578125" style="2" customWidth="1"/>
    <col min="5384" max="5384" width="12.28515625" style="2" customWidth="1"/>
    <col min="5385" max="5385" width="12.140625" style="2" customWidth="1"/>
    <col min="5386" max="5633" width="9" style="2"/>
    <col min="5634" max="5637" width="15.42578125" style="2" customWidth="1"/>
    <col min="5638" max="5638" width="14" style="2" customWidth="1"/>
    <col min="5639" max="5639" width="12.42578125" style="2" customWidth="1"/>
    <col min="5640" max="5640" width="12.28515625" style="2" customWidth="1"/>
    <col min="5641" max="5641" width="12.140625" style="2" customWidth="1"/>
    <col min="5642" max="5889" width="9" style="2"/>
    <col min="5890" max="5893" width="15.42578125" style="2" customWidth="1"/>
    <col min="5894" max="5894" width="14" style="2" customWidth="1"/>
    <col min="5895" max="5895" width="12.42578125" style="2" customWidth="1"/>
    <col min="5896" max="5896" width="12.28515625" style="2" customWidth="1"/>
    <col min="5897" max="5897" width="12.140625" style="2" customWidth="1"/>
    <col min="5898" max="6145" width="9" style="2"/>
    <col min="6146" max="6149" width="15.42578125" style="2" customWidth="1"/>
    <col min="6150" max="6150" width="14" style="2" customWidth="1"/>
    <col min="6151" max="6151" width="12.42578125" style="2" customWidth="1"/>
    <col min="6152" max="6152" width="12.28515625" style="2" customWidth="1"/>
    <col min="6153" max="6153" width="12.140625" style="2" customWidth="1"/>
    <col min="6154" max="6401" width="9" style="2"/>
    <col min="6402" max="6405" width="15.42578125" style="2" customWidth="1"/>
    <col min="6406" max="6406" width="14" style="2" customWidth="1"/>
    <col min="6407" max="6407" width="12.42578125" style="2" customWidth="1"/>
    <col min="6408" max="6408" width="12.28515625" style="2" customWidth="1"/>
    <col min="6409" max="6409" width="12.140625" style="2" customWidth="1"/>
    <col min="6410" max="6657" width="9" style="2"/>
    <col min="6658" max="6661" width="15.42578125" style="2" customWidth="1"/>
    <col min="6662" max="6662" width="14" style="2" customWidth="1"/>
    <col min="6663" max="6663" width="12.42578125" style="2" customWidth="1"/>
    <col min="6664" max="6664" width="12.28515625" style="2" customWidth="1"/>
    <col min="6665" max="6665" width="12.140625" style="2" customWidth="1"/>
    <col min="6666" max="6913" width="9" style="2"/>
    <col min="6914" max="6917" width="15.42578125" style="2" customWidth="1"/>
    <col min="6918" max="6918" width="14" style="2" customWidth="1"/>
    <col min="6919" max="6919" width="12.42578125" style="2" customWidth="1"/>
    <col min="6920" max="6920" width="12.28515625" style="2" customWidth="1"/>
    <col min="6921" max="6921" width="12.140625" style="2" customWidth="1"/>
    <col min="6922" max="7169" width="9" style="2"/>
    <col min="7170" max="7173" width="15.42578125" style="2" customWidth="1"/>
    <col min="7174" max="7174" width="14" style="2" customWidth="1"/>
    <col min="7175" max="7175" width="12.42578125" style="2" customWidth="1"/>
    <col min="7176" max="7176" width="12.28515625" style="2" customWidth="1"/>
    <col min="7177" max="7177" width="12.140625" style="2" customWidth="1"/>
    <col min="7178" max="7425" width="9" style="2"/>
    <col min="7426" max="7429" width="15.42578125" style="2" customWidth="1"/>
    <col min="7430" max="7430" width="14" style="2" customWidth="1"/>
    <col min="7431" max="7431" width="12.42578125" style="2" customWidth="1"/>
    <col min="7432" max="7432" width="12.28515625" style="2" customWidth="1"/>
    <col min="7433" max="7433" width="12.140625" style="2" customWidth="1"/>
    <col min="7434" max="7681" width="9" style="2"/>
    <col min="7682" max="7685" width="15.42578125" style="2" customWidth="1"/>
    <col min="7686" max="7686" width="14" style="2" customWidth="1"/>
    <col min="7687" max="7687" width="12.42578125" style="2" customWidth="1"/>
    <col min="7688" max="7688" width="12.28515625" style="2" customWidth="1"/>
    <col min="7689" max="7689" width="12.140625" style="2" customWidth="1"/>
    <col min="7690" max="7937" width="9" style="2"/>
    <col min="7938" max="7941" width="15.42578125" style="2" customWidth="1"/>
    <col min="7942" max="7942" width="14" style="2" customWidth="1"/>
    <col min="7943" max="7943" width="12.42578125" style="2" customWidth="1"/>
    <col min="7944" max="7944" width="12.28515625" style="2" customWidth="1"/>
    <col min="7945" max="7945" width="12.140625" style="2" customWidth="1"/>
    <col min="7946" max="8193" width="9" style="2"/>
    <col min="8194" max="8197" width="15.42578125" style="2" customWidth="1"/>
    <col min="8198" max="8198" width="14" style="2" customWidth="1"/>
    <col min="8199" max="8199" width="12.42578125" style="2" customWidth="1"/>
    <col min="8200" max="8200" width="12.28515625" style="2" customWidth="1"/>
    <col min="8201" max="8201" width="12.140625" style="2" customWidth="1"/>
    <col min="8202" max="8449" width="9" style="2"/>
    <col min="8450" max="8453" width="15.42578125" style="2" customWidth="1"/>
    <col min="8454" max="8454" width="14" style="2" customWidth="1"/>
    <col min="8455" max="8455" width="12.42578125" style="2" customWidth="1"/>
    <col min="8456" max="8456" width="12.28515625" style="2" customWidth="1"/>
    <col min="8457" max="8457" width="12.140625" style="2" customWidth="1"/>
    <col min="8458" max="8705" width="9" style="2"/>
    <col min="8706" max="8709" width="15.42578125" style="2" customWidth="1"/>
    <col min="8710" max="8710" width="14" style="2" customWidth="1"/>
    <col min="8711" max="8711" width="12.42578125" style="2" customWidth="1"/>
    <col min="8712" max="8712" width="12.28515625" style="2" customWidth="1"/>
    <col min="8713" max="8713" width="12.140625" style="2" customWidth="1"/>
    <col min="8714" max="8961" width="9" style="2"/>
    <col min="8962" max="8965" width="15.42578125" style="2" customWidth="1"/>
    <col min="8966" max="8966" width="14" style="2" customWidth="1"/>
    <col min="8967" max="8967" width="12.42578125" style="2" customWidth="1"/>
    <col min="8968" max="8968" width="12.28515625" style="2" customWidth="1"/>
    <col min="8969" max="8969" width="12.140625" style="2" customWidth="1"/>
    <col min="8970" max="9217" width="9" style="2"/>
    <col min="9218" max="9221" width="15.42578125" style="2" customWidth="1"/>
    <col min="9222" max="9222" width="14" style="2" customWidth="1"/>
    <col min="9223" max="9223" width="12.42578125" style="2" customWidth="1"/>
    <col min="9224" max="9224" width="12.28515625" style="2" customWidth="1"/>
    <col min="9225" max="9225" width="12.140625" style="2" customWidth="1"/>
    <col min="9226" max="9473" width="9" style="2"/>
    <col min="9474" max="9477" width="15.42578125" style="2" customWidth="1"/>
    <col min="9478" max="9478" width="14" style="2" customWidth="1"/>
    <col min="9479" max="9479" width="12.42578125" style="2" customWidth="1"/>
    <col min="9480" max="9480" width="12.28515625" style="2" customWidth="1"/>
    <col min="9481" max="9481" width="12.140625" style="2" customWidth="1"/>
    <col min="9482" max="9729" width="9" style="2"/>
    <col min="9730" max="9733" width="15.42578125" style="2" customWidth="1"/>
    <col min="9734" max="9734" width="14" style="2" customWidth="1"/>
    <col min="9735" max="9735" width="12.42578125" style="2" customWidth="1"/>
    <col min="9736" max="9736" width="12.28515625" style="2" customWidth="1"/>
    <col min="9737" max="9737" width="12.140625" style="2" customWidth="1"/>
    <col min="9738" max="9985" width="9" style="2"/>
    <col min="9986" max="9989" width="15.42578125" style="2" customWidth="1"/>
    <col min="9990" max="9990" width="14" style="2" customWidth="1"/>
    <col min="9991" max="9991" width="12.42578125" style="2" customWidth="1"/>
    <col min="9992" max="9992" width="12.28515625" style="2" customWidth="1"/>
    <col min="9993" max="9993" width="12.140625" style="2" customWidth="1"/>
    <col min="9994" max="10241" width="9" style="2"/>
    <col min="10242" max="10245" width="15.42578125" style="2" customWidth="1"/>
    <col min="10246" max="10246" width="14" style="2" customWidth="1"/>
    <col min="10247" max="10247" width="12.42578125" style="2" customWidth="1"/>
    <col min="10248" max="10248" width="12.28515625" style="2" customWidth="1"/>
    <col min="10249" max="10249" width="12.140625" style="2" customWidth="1"/>
    <col min="10250" max="10497" width="9" style="2"/>
    <col min="10498" max="10501" width="15.42578125" style="2" customWidth="1"/>
    <col min="10502" max="10502" width="14" style="2" customWidth="1"/>
    <col min="10503" max="10503" width="12.42578125" style="2" customWidth="1"/>
    <col min="10504" max="10504" width="12.28515625" style="2" customWidth="1"/>
    <col min="10505" max="10505" width="12.140625" style="2" customWidth="1"/>
    <col min="10506" max="10753" width="9" style="2"/>
    <col min="10754" max="10757" width="15.42578125" style="2" customWidth="1"/>
    <col min="10758" max="10758" width="14" style="2" customWidth="1"/>
    <col min="10759" max="10759" width="12.42578125" style="2" customWidth="1"/>
    <col min="10760" max="10760" width="12.28515625" style="2" customWidth="1"/>
    <col min="10761" max="10761" width="12.140625" style="2" customWidth="1"/>
    <col min="10762" max="11009" width="9" style="2"/>
    <col min="11010" max="11013" width="15.42578125" style="2" customWidth="1"/>
    <col min="11014" max="11014" width="14" style="2" customWidth="1"/>
    <col min="11015" max="11015" width="12.42578125" style="2" customWidth="1"/>
    <col min="11016" max="11016" width="12.28515625" style="2" customWidth="1"/>
    <col min="11017" max="11017" width="12.140625" style="2" customWidth="1"/>
    <col min="11018" max="11265" width="9" style="2"/>
    <col min="11266" max="11269" width="15.42578125" style="2" customWidth="1"/>
    <col min="11270" max="11270" width="14" style="2" customWidth="1"/>
    <col min="11271" max="11271" width="12.42578125" style="2" customWidth="1"/>
    <col min="11272" max="11272" width="12.28515625" style="2" customWidth="1"/>
    <col min="11273" max="11273" width="12.140625" style="2" customWidth="1"/>
    <col min="11274" max="11521" width="9" style="2"/>
    <col min="11522" max="11525" width="15.42578125" style="2" customWidth="1"/>
    <col min="11526" max="11526" width="14" style="2" customWidth="1"/>
    <col min="11527" max="11527" width="12.42578125" style="2" customWidth="1"/>
    <col min="11528" max="11528" width="12.28515625" style="2" customWidth="1"/>
    <col min="11529" max="11529" width="12.140625" style="2" customWidth="1"/>
    <col min="11530" max="11777" width="9" style="2"/>
    <col min="11778" max="11781" width="15.42578125" style="2" customWidth="1"/>
    <col min="11782" max="11782" width="14" style="2" customWidth="1"/>
    <col min="11783" max="11783" width="12.42578125" style="2" customWidth="1"/>
    <col min="11784" max="11784" width="12.28515625" style="2" customWidth="1"/>
    <col min="11785" max="11785" width="12.140625" style="2" customWidth="1"/>
    <col min="11786" max="12033" width="9" style="2"/>
    <col min="12034" max="12037" width="15.42578125" style="2" customWidth="1"/>
    <col min="12038" max="12038" width="14" style="2" customWidth="1"/>
    <col min="12039" max="12039" width="12.42578125" style="2" customWidth="1"/>
    <col min="12040" max="12040" width="12.28515625" style="2" customWidth="1"/>
    <col min="12041" max="12041" width="12.140625" style="2" customWidth="1"/>
    <col min="12042" max="12289" width="9" style="2"/>
    <col min="12290" max="12293" width="15.42578125" style="2" customWidth="1"/>
    <col min="12294" max="12294" width="14" style="2" customWidth="1"/>
    <col min="12295" max="12295" width="12.42578125" style="2" customWidth="1"/>
    <col min="12296" max="12296" width="12.28515625" style="2" customWidth="1"/>
    <col min="12297" max="12297" width="12.140625" style="2" customWidth="1"/>
    <col min="12298" max="12545" width="9" style="2"/>
    <col min="12546" max="12549" width="15.42578125" style="2" customWidth="1"/>
    <col min="12550" max="12550" width="14" style="2" customWidth="1"/>
    <col min="12551" max="12551" width="12.42578125" style="2" customWidth="1"/>
    <col min="12552" max="12552" width="12.28515625" style="2" customWidth="1"/>
    <col min="12553" max="12553" width="12.140625" style="2" customWidth="1"/>
    <col min="12554" max="12801" width="9" style="2"/>
    <col min="12802" max="12805" width="15.42578125" style="2" customWidth="1"/>
    <col min="12806" max="12806" width="14" style="2" customWidth="1"/>
    <col min="12807" max="12807" width="12.42578125" style="2" customWidth="1"/>
    <col min="12808" max="12808" width="12.28515625" style="2" customWidth="1"/>
    <col min="12809" max="12809" width="12.140625" style="2" customWidth="1"/>
    <col min="12810" max="13057" width="9" style="2"/>
    <col min="13058" max="13061" width="15.42578125" style="2" customWidth="1"/>
    <col min="13062" max="13062" width="14" style="2" customWidth="1"/>
    <col min="13063" max="13063" width="12.42578125" style="2" customWidth="1"/>
    <col min="13064" max="13064" width="12.28515625" style="2" customWidth="1"/>
    <col min="13065" max="13065" width="12.140625" style="2" customWidth="1"/>
    <col min="13066" max="13313" width="9" style="2"/>
    <col min="13314" max="13317" width="15.42578125" style="2" customWidth="1"/>
    <col min="13318" max="13318" width="14" style="2" customWidth="1"/>
    <col min="13319" max="13319" width="12.42578125" style="2" customWidth="1"/>
    <col min="13320" max="13320" width="12.28515625" style="2" customWidth="1"/>
    <col min="13321" max="13321" width="12.140625" style="2" customWidth="1"/>
    <col min="13322" max="13569" width="9" style="2"/>
    <col min="13570" max="13573" width="15.42578125" style="2" customWidth="1"/>
    <col min="13574" max="13574" width="14" style="2" customWidth="1"/>
    <col min="13575" max="13575" width="12.42578125" style="2" customWidth="1"/>
    <col min="13576" max="13576" width="12.28515625" style="2" customWidth="1"/>
    <col min="13577" max="13577" width="12.140625" style="2" customWidth="1"/>
    <col min="13578" max="13825" width="9" style="2"/>
    <col min="13826" max="13829" width="15.42578125" style="2" customWidth="1"/>
    <col min="13830" max="13830" width="14" style="2" customWidth="1"/>
    <col min="13831" max="13831" width="12.42578125" style="2" customWidth="1"/>
    <col min="13832" max="13832" width="12.28515625" style="2" customWidth="1"/>
    <col min="13833" max="13833" width="12.140625" style="2" customWidth="1"/>
    <col min="13834" max="14081" width="9" style="2"/>
    <col min="14082" max="14085" width="15.42578125" style="2" customWidth="1"/>
    <col min="14086" max="14086" width="14" style="2" customWidth="1"/>
    <col min="14087" max="14087" width="12.42578125" style="2" customWidth="1"/>
    <col min="14088" max="14088" width="12.28515625" style="2" customWidth="1"/>
    <col min="14089" max="14089" width="12.140625" style="2" customWidth="1"/>
    <col min="14090" max="14337" width="9" style="2"/>
    <col min="14338" max="14341" width="15.42578125" style="2" customWidth="1"/>
    <col min="14342" max="14342" width="14" style="2" customWidth="1"/>
    <col min="14343" max="14343" width="12.42578125" style="2" customWidth="1"/>
    <col min="14344" max="14344" width="12.28515625" style="2" customWidth="1"/>
    <col min="14345" max="14345" width="12.140625" style="2" customWidth="1"/>
    <col min="14346" max="14593" width="9" style="2"/>
    <col min="14594" max="14597" width="15.42578125" style="2" customWidth="1"/>
    <col min="14598" max="14598" width="14" style="2" customWidth="1"/>
    <col min="14599" max="14599" width="12.42578125" style="2" customWidth="1"/>
    <col min="14600" max="14600" width="12.28515625" style="2" customWidth="1"/>
    <col min="14601" max="14601" width="12.140625" style="2" customWidth="1"/>
    <col min="14602" max="14849" width="9" style="2"/>
    <col min="14850" max="14853" width="15.42578125" style="2" customWidth="1"/>
    <col min="14854" max="14854" width="14" style="2" customWidth="1"/>
    <col min="14855" max="14855" width="12.42578125" style="2" customWidth="1"/>
    <col min="14856" max="14856" width="12.28515625" style="2" customWidth="1"/>
    <col min="14857" max="14857" width="12.140625" style="2" customWidth="1"/>
    <col min="14858" max="15105" width="9" style="2"/>
    <col min="15106" max="15109" width="15.42578125" style="2" customWidth="1"/>
    <col min="15110" max="15110" width="14" style="2" customWidth="1"/>
    <col min="15111" max="15111" width="12.42578125" style="2" customWidth="1"/>
    <col min="15112" max="15112" width="12.28515625" style="2" customWidth="1"/>
    <col min="15113" max="15113" width="12.140625" style="2" customWidth="1"/>
    <col min="15114" max="15361" width="9" style="2"/>
    <col min="15362" max="15365" width="15.42578125" style="2" customWidth="1"/>
    <col min="15366" max="15366" width="14" style="2" customWidth="1"/>
    <col min="15367" max="15367" width="12.42578125" style="2" customWidth="1"/>
    <col min="15368" max="15368" width="12.28515625" style="2" customWidth="1"/>
    <col min="15369" max="15369" width="12.140625" style="2" customWidth="1"/>
    <col min="15370" max="15617" width="9" style="2"/>
    <col min="15618" max="15621" width="15.42578125" style="2" customWidth="1"/>
    <col min="15622" max="15622" width="14" style="2" customWidth="1"/>
    <col min="15623" max="15623" width="12.42578125" style="2" customWidth="1"/>
    <col min="15624" max="15624" width="12.28515625" style="2" customWidth="1"/>
    <col min="15625" max="15625" width="12.140625" style="2" customWidth="1"/>
    <col min="15626" max="15873" width="9" style="2"/>
    <col min="15874" max="15877" width="15.42578125" style="2" customWidth="1"/>
    <col min="15878" max="15878" width="14" style="2" customWidth="1"/>
    <col min="15879" max="15879" width="12.42578125" style="2" customWidth="1"/>
    <col min="15880" max="15880" width="12.28515625" style="2" customWidth="1"/>
    <col min="15881" max="15881" width="12.140625" style="2" customWidth="1"/>
    <col min="15882" max="16129" width="9" style="2"/>
    <col min="16130" max="16133" width="15.42578125" style="2" customWidth="1"/>
    <col min="16134" max="16134" width="14" style="2" customWidth="1"/>
    <col min="16135" max="16135" width="12.42578125" style="2" customWidth="1"/>
    <col min="16136" max="16136" width="12.28515625" style="2" customWidth="1"/>
    <col min="16137" max="16137" width="12.140625" style="2" customWidth="1"/>
    <col min="16138" max="16384" width="9" style="2"/>
  </cols>
  <sheetData>
    <row r="1" spans="1:7">
      <c r="A1" s="3" t="s">
        <v>54</v>
      </c>
    </row>
    <row r="2" spans="1:7">
      <c r="A2" s="59" t="s">
        <v>17</v>
      </c>
      <c r="B2" s="61" t="s">
        <v>0</v>
      </c>
      <c r="C2" s="62"/>
      <c r="D2" s="59" t="s">
        <v>31</v>
      </c>
      <c r="E2" s="59" t="s">
        <v>18</v>
      </c>
      <c r="F2" s="59" t="s">
        <v>19</v>
      </c>
    </row>
    <row r="3" spans="1:7" s="2" customFormat="1">
      <c r="A3" s="60"/>
      <c r="B3" s="4" t="s">
        <v>28</v>
      </c>
      <c r="C3" s="4" t="s">
        <v>30</v>
      </c>
      <c r="D3" s="60"/>
      <c r="E3" s="60"/>
      <c r="F3" s="60"/>
    </row>
    <row r="4" spans="1:7">
      <c r="A4" s="54">
        <v>2</v>
      </c>
      <c r="B4" s="5">
        <f>MEI!C5/1000</f>
        <v>5170.2250000000004</v>
      </c>
      <c r="C4" s="5">
        <f>(MEI!C10+MEI!C11)/1000</f>
        <v>339.60899999999998</v>
      </c>
      <c r="D4" s="5">
        <f t="shared" ref="D4:D26" si="0">B4+C4</f>
        <v>5509.8340000000007</v>
      </c>
      <c r="E4" s="6">
        <v>6760</v>
      </c>
      <c r="F4" s="7">
        <f>D4/E4</f>
        <v>0.81506420118343204</v>
      </c>
    </row>
    <row r="5" spans="1:7">
      <c r="A5" s="54">
        <v>4</v>
      </c>
      <c r="B5" s="5">
        <f>MEI!D5/1000</f>
        <v>4775.1850000000004</v>
      </c>
      <c r="C5" s="5">
        <f>(MEI!D10+MEI!D11)/1000</f>
        <v>639.51199999999994</v>
      </c>
      <c r="D5" s="5">
        <f t="shared" si="0"/>
        <v>5414.6970000000001</v>
      </c>
      <c r="E5" s="6">
        <v>6760</v>
      </c>
      <c r="F5" s="7">
        <f t="shared" ref="F5:F26" si="1">D5/E5</f>
        <v>0.80099068047337285</v>
      </c>
      <c r="G5" s="43"/>
    </row>
    <row r="6" spans="1:7">
      <c r="A6" s="54">
        <v>5</v>
      </c>
      <c r="B6" s="5">
        <f>MEI!E5/1000</f>
        <v>6067.2650000000003</v>
      </c>
      <c r="C6" s="5">
        <f>(MEI!E10+MEI!E11)/1000</f>
        <v>627.66200000000003</v>
      </c>
      <c r="D6" s="5">
        <f t="shared" si="0"/>
        <v>6694.9270000000006</v>
      </c>
      <c r="E6" s="6">
        <v>6760</v>
      </c>
      <c r="F6" s="7">
        <f t="shared" si="1"/>
        <v>0.99037381656804746</v>
      </c>
    </row>
    <row r="7" spans="1:7">
      <c r="A7" s="54">
        <v>6</v>
      </c>
      <c r="B7" s="5">
        <f>MEI!F5/1000</f>
        <v>5474.0649999999996</v>
      </c>
      <c r="C7" s="5">
        <f>(MEI!F10+MEI!F11)/1000</f>
        <v>419.12200000000001</v>
      </c>
      <c r="D7" s="5">
        <f t="shared" si="0"/>
        <v>5893.1869999999999</v>
      </c>
      <c r="E7" s="6">
        <v>6760</v>
      </c>
      <c r="F7" s="7">
        <f t="shared" si="1"/>
        <v>0.87177322485207098</v>
      </c>
    </row>
    <row r="8" spans="1:7">
      <c r="A8" s="54">
        <v>7</v>
      </c>
      <c r="B8" s="5">
        <f>MEI!G5/1000</f>
        <v>4322.08</v>
      </c>
      <c r="C8" s="5">
        <f>(MEI!G10+MEI!G11)/1000</f>
        <v>578.86300000000006</v>
      </c>
      <c r="D8" s="5">
        <f t="shared" si="0"/>
        <v>4900.9430000000002</v>
      </c>
      <c r="E8" s="6">
        <v>6760</v>
      </c>
      <c r="F8" s="7">
        <f t="shared" si="1"/>
        <v>0.72499156804733733</v>
      </c>
    </row>
    <row r="9" spans="1:7">
      <c r="A9" s="54">
        <v>8</v>
      </c>
      <c r="B9" s="5">
        <f>MEI!H5/1000</f>
        <v>7281.3249999999998</v>
      </c>
      <c r="C9" s="5">
        <f>(MEI!H10+MEI!H11)/1000</f>
        <v>548.24199999999996</v>
      </c>
      <c r="D9" s="5">
        <f t="shared" si="0"/>
        <v>7829.567</v>
      </c>
      <c r="E9" s="6">
        <v>6760</v>
      </c>
      <c r="F9" s="7">
        <f t="shared" si="1"/>
        <v>1.1582199704142011</v>
      </c>
    </row>
    <row r="10" spans="1:7">
      <c r="A10" s="54">
        <v>9</v>
      </c>
      <c r="B10" s="5">
        <f>MEI!I5/1000</f>
        <v>8064.6350000000002</v>
      </c>
      <c r="C10" s="5">
        <f>(MEI!I10+MEI!I11)/1000</f>
        <v>613.077</v>
      </c>
      <c r="D10" s="5">
        <f t="shared" si="0"/>
        <v>8677.7119999999995</v>
      </c>
      <c r="E10" s="6">
        <v>6760</v>
      </c>
      <c r="F10" s="7">
        <f t="shared" si="1"/>
        <v>1.2836852071005918</v>
      </c>
    </row>
    <row r="11" spans="1:7">
      <c r="A11" s="54">
        <v>11</v>
      </c>
      <c r="B11" s="5">
        <f>MEI!J5/1000</f>
        <v>7158.2849999999999</v>
      </c>
      <c r="C11" s="5">
        <f>(MEI!J10+MEI!J11)/1000</f>
        <v>476.27800000000002</v>
      </c>
      <c r="D11" s="5">
        <f t="shared" si="0"/>
        <v>7634.5630000000001</v>
      </c>
      <c r="E11" s="6">
        <v>6760</v>
      </c>
      <c r="F11" s="7">
        <f t="shared" si="1"/>
        <v>1.1293732248520709</v>
      </c>
    </row>
    <row r="12" spans="1:7">
      <c r="A12" s="54">
        <v>12</v>
      </c>
      <c r="B12" s="5">
        <f>MEI!K5/1000</f>
        <v>7130.9449999999997</v>
      </c>
      <c r="C12" s="5">
        <f>(MEI!K10+MEI!K11)/1000</f>
        <v>638.58799999999997</v>
      </c>
      <c r="D12" s="5">
        <f t="shared" si="0"/>
        <v>7769.5329999999994</v>
      </c>
      <c r="E12" s="6">
        <v>6760</v>
      </c>
      <c r="F12" s="7">
        <f t="shared" si="1"/>
        <v>1.1493392011834318</v>
      </c>
    </row>
    <row r="13" spans="1:7">
      <c r="A13" s="54">
        <v>13</v>
      </c>
      <c r="B13" s="5">
        <f>MEI!L5/1000</f>
        <v>6529.3249999999998</v>
      </c>
      <c r="C13" s="5">
        <f>(MEI!L10+MEI!L11)/1000</f>
        <v>475.81700000000001</v>
      </c>
      <c r="D13" s="5">
        <f t="shared" si="0"/>
        <v>7005.1419999999998</v>
      </c>
      <c r="E13" s="6">
        <v>6760</v>
      </c>
      <c r="F13" s="7">
        <f t="shared" si="1"/>
        <v>1.0362636094674555</v>
      </c>
    </row>
    <row r="14" spans="1:7">
      <c r="A14" s="54">
        <v>15</v>
      </c>
      <c r="B14" s="5">
        <f>MEI!M5/1000</f>
        <v>6129.6450000000004</v>
      </c>
      <c r="C14" s="5">
        <f>(MEI!M10+MEI!M11)/1000</f>
        <v>498.779</v>
      </c>
      <c r="D14" s="5">
        <f t="shared" si="0"/>
        <v>6628.4240000000009</v>
      </c>
      <c r="E14" s="6">
        <v>6760</v>
      </c>
      <c r="F14" s="7">
        <f t="shared" si="1"/>
        <v>0.98053609467455638</v>
      </c>
    </row>
    <row r="15" spans="1:7">
      <c r="A15" s="54">
        <v>16</v>
      </c>
      <c r="B15" s="5">
        <f>MEI!N5/1000</f>
        <v>5553.665</v>
      </c>
      <c r="C15" s="5">
        <f>(MEI!N10+MEI!N11)/1000</f>
        <v>625.81899999999996</v>
      </c>
      <c r="D15" s="5">
        <f t="shared" si="0"/>
        <v>6179.4840000000004</v>
      </c>
      <c r="E15" s="6">
        <v>6760</v>
      </c>
      <c r="F15" s="7">
        <f t="shared" si="1"/>
        <v>0.91412485207100602</v>
      </c>
    </row>
    <row r="16" spans="1:7">
      <c r="A16" s="54">
        <v>18</v>
      </c>
      <c r="B16" s="5">
        <f>MEI!O5/1000</f>
        <v>5337.6850000000004</v>
      </c>
      <c r="C16" s="5">
        <f>(MEI!O10+MEI!O11)/1000</f>
        <v>719.005</v>
      </c>
      <c r="D16" s="5">
        <f t="shared" si="0"/>
        <v>6056.6900000000005</v>
      </c>
      <c r="E16" s="6">
        <v>6760</v>
      </c>
      <c r="F16" s="7">
        <f t="shared" si="1"/>
        <v>0.89596005917159771</v>
      </c>
    </row>
    <row r="17" spans="1:19">
      <c r="A17" s="54">
        <v>19</v>
      </c>
      <c r="B17" s="5">
        <f>MEI!P5/1000</f>
        <v>5385.08</v>
      </c>
      <c r="C17" s="5">
        <f>(MEI!P10+MEI!P11)/1000</f>
        <v>537.07000000000005</v>
      </c>
      <c r="D17" s="5">
        <f t="shared" si="0"/>
        <v>5922.15</v>
      </c>
      <c r="E17" s="6">
        <v>6760</v>
      </c>
      <c r="F17" s="7">
        <f t="shared" si="1"/>
        <v>0.87605769230769226</v>
      </c>
    </row>
    <row r="18" spans="1:19">
      <c r="A18" s="54">
        <v>20</v>
      </c>
      <c r="B18" s="5">
        <f>MEI!Q5/1000</f>
        <v>5366.99</v>
      </c>
      <c r="C18" s="5">
        <f>(MEI!Q10+MEI!Q11)/1000</f>
        <v>565.91499999999996</v>
      </c>
      <c r="D18" s="5">
        <f t="shared" si="0"/>
        <v>5932.9049999999997</v>
      </c>
      <c r="E18" s="6">
        <v>6760</v>
      </c>
      <c r="F18" s="7">
        <f t="shared" si="1"/>
        <v>0.87764866863905322</v>
      </c>
    </row>
    <row r="19" spans="1:19" ht="15.75">
      <c r="A19" s="54">
        <v>21</v>
      </c>
      <c r="B19" s="5">
        <f>MEI!R5/1000</f>
        <v>4630.3850000000002</v>
      </c>
      <c r="C19" s="5">
        <f>(MEI!R10+MEI!R11)/1000</f>
        <v>608.93499999999995</v>
      </c>
      <c r="D19" s="5">
        <f t="shared" si="0"/>
        <v>5239.32</v>
      </c>
      <c r="E19" s="6">
        <v>6760</v>
      </c>
      <c r="F19" s="7">
        <f t="shared" si="1"/>
        <v>0.77504733727810649</v>
      </c>
      <c r="H19" s="8" t="s">
        <v>20</v>
      </c>
    </row>
    <row r="20" spans="1:19" ht="15.75">
      <c r="A20" s="54">
        <v>22</v>
      </c>
      <c r="B20" s="5">
        <f>MEI!S5/1000</f>
        <v>4123.1450000000004</v>
      </c>
      <c r="C20" s="5">
        <f>(MEI!S10+MEI!S11)/1000</f>
        <v>597.09</v>
      </c>
      <c r="D20" s="5">
        <f t="shared" si="0"/>
        <v>4720.2350000000006</v>
      </c>
      <c r="E20" s="6">
        <v>6760</v>
      </c>
      <c r="F20" s="7">
        <f t="shared" si="1"/>
        <v>0.69825961538461545</v>
      </c>
      <c r="H20" s="8" t="s">
        <v>24</v>
      </c>
      <c r="J20" s="39">
        <v>6760</v>
      </c>
      <c r="K20" s="41" t="s">
        <v>25</v>
      </c>
    </row>
    <row r="21" spans="1:19" ht="15.75">
      <c r="A21" s="54">
        <v>23</v>
      </c>
      <c r="B21" s="5">
        <f>MEI!T5/1000</f>
        <v>4420.92</v>
      </c>
      <c r="C21" s="5">
        <f>(MEI!T10+MEI!T11)/1000</f>
        <v>582.9</v>
      </c>
      <c r="D21" s="5">
        <f t="shared" si="0"/>
        <v>5003.82</v>
      </c>
      <c r="E21" s="6">
        <v>6760</v>
      </c>
      <c r="F21" s="7">
        <f t="shared" si="1"/>
        <v>0.74021005917159755</v>
      </c>
      <c r="H21" s="58" t="s">
        <v>60</v>
      </c>
      <c r="I21" s="58"/>
      <c r="J21" s="9">
        <v>3905</v>
      </c>
      <c r="K21" s="8" t="s">
        <v>25</v>
      </c>
    </row>
    <row r="22" spans="1:19" ht="15.75">
      <c r="A22" s="54">
        <v>25</v>
      </c>
      <c r="B22" s="5">
        <f>MEI!U5/1000</f>
        <v>3424.9050000000002</v>
      </c>
      <c r="C22" s="5">
        <f>(MEI!U10+MEI!U11)/1000</f>
        <v>717.66</v>
      </c>
      <c r="D22" s="5">
        <f t="shared" si="0"/>
        <v>4142.5650000000005</v>
      </c>
      <c r="E22" s="6">
        <v>6760</v>
      </c>
      <c r="F22" s="7">
        <f t="shared" si="1"/>
        <v>0.61280547337278113</v>
      </c>
      <c r="H22" s="8" t="s">
        <v>26</v>
      </c>
      <c r="J22" s="40">
        <f>J21/J20</f>
        <v>0.5776627218934911</v>
      </c>
      <c r="K22" s="8" t="s">
        <v>25</v>
      </c>
    </row>
    <row r="23" spans="1:19" s="1" customFormat="1">
      <c r="A23" s="54">
        <v>26</v>
      </c>
      <c r="B23" s="5">
        <f>MEI!V5/1000</f>
        <v>3684.47</v>
      </c>
      <c r="C23" s="5">
        <f>(MEI!V10+MEI!V11)/1000</f>
        <v>738.48500000000001</v>
      </c>
      <c r="D23" s="5">
        <f t="shared" si="0"/>
        <v>4422.9549999999999</v>
      </c>
      <c r="E23" s="6">
        <v>6760</v>
      </c>
      <c r="F23" s="7">
        <f t="shared" si="1"/>
        <v>0.65428328402366864</v>
      </c>
      <c r="H23" s="41" t="s">
        <v>27</v>
      </c>
      <c r="I23" s="41"/>
      <c r="J23" s="42">
        <f>100%-J22</f>
        <v>0.4223372781065089</v>
      </c>
      <c r="K23" s="41" t="s">
        <v>25</v>
      </c>
    </row>
    <row r="24" spans="1:19" s="1" customFormat="1">
      <c r="A24" s="54">
        <v>28</v>
      </c>
      <c r="B24" s="5">
        <f>MEI!W5/1000</f>
        <v>2576.1799999999998</v>
      </c>
      <c r="C24" s="5">
        <f>(MEI!W10+MEI!W11)/1000</f>
        <v>639.57500000000005</v>
      </c>
      <c r="D24" s="5">
        <f t="shared" si="0"/>
        <v>3215.7550000000001</v>
      </c>
      <c r="E24" s="6">
        <v>6760</v>
      </c>
      <c r="F24" s="7">
        <f t="shared" si="1"/>
        <v>0.47570340236686393</v>
      </c>
    </row>
    <row r="25" spans="1:19" s="1" customFormat="1">
      <c r="A25" s="54">
        <v>29</v>
      </c>
      <c r="B25" s="5">
        <f>MEI!X5/1000</f>
        <v>2702.84</v>
      </c>
      <c r="C25" s="5">
        <f>(MEI!X10+MEI!X11)/1000</f>
        <v>630.16999999999996</v>
      </c>
      <c r="D25" s="5">
        <f t="shared" si="0"/>
        <v>3333.01</v>
      </c>
      <c r="E25" s="6">
        <v>6760</v>
      </c>
      <c r="F25" s="7">
        <f t="shared" si="1"/>
        <v>0.49304881656804739</v>
      </c>
    </row>
    <row r="26" spans="1:19" s="1" customFormat="1">
      <c r="A26" s="54">
        <v>30</v>
      </c>
      <c r="B26" s="5">
        <f>MEI!Y5/1000</f>
        <v>3478.05</v>
      </c>
      <c r="C26" s="5">
        <f>(MEI!Y10+MEI!Y11)/1000</f>
        <v>426.53</v>
      </c>
      <c r="D26" s="5">
        <f t="shared" si="0"/>
        <v>3904.58</v>
      </c>
      <c r="E26" s="6">
        <v>6760</v>
      </c>
      <c r="F26" s="7">
        <f t="shared" si="1"/>
        <v>0.57760059171597633</v>
      </c>
    </row>
    <row r="27" spans="1:19" s="1" customFormat="1">
      <c r="A27" s="10" t="s">
        <v>1</v>
      </c>
      <c r="B27" s="11">
        <f>AVERAGE(B4:B26)</f>
        <v>5164.6649999999991</v>
      </c>
      <c r="C27" s="11">
        <f>AVERAGE(C4:C26)</f>
        <v>575.85665217391306</v>
      </c>
      <c r="D27" s="11">
        <f>AVERAGE(D4:D26)</f>
        <v>5740.521652173913</v>
      </c>
      <c r="E27" s="11">
        <f>AVERAGE(E4:E26)</f>
        <v>6760</v>
      </c>
      <c r="F27" s="12">
        <f>AVERAGE(F4:F26)</f>
        <v>0.84918959351685142</v>
      </c>
    </row>
    <row r="28" spans="1:19">
      <c r="A28" s="13" t="s">
        <v>21</v>
      </c>
      <c r="B28" s="14">
        <f>MAX(B4:B26)</f>
        <v>8064.6350000000002</v>
      </c>
      <c r="C28" s="14">
        <f>MAX(C4:C26)</f>
        <v>738.48500000000001</v>
      </c>
      <c r="D28" s="14">
        <f>MAX(D4:D26)</f>
        <v>8677.7119999999995</v>
      </c>
      <c r="E28" s="15">
        <v>6760</v>
      </c>
      <c r="F28" s="16">
        <f>D28/E28</f>
        <v>1.2836852071005918</v>
      </c>
      <c r="Q28" s="2"/>
      <c r="R28" s="2"/>
      <c r="S28" s="2"/>
    </row>
    <row r="29" spans="1:19" s="1" customFormat="1">
      <c r="A29" s="17"/>
      <c r="B29" s="18"/>
      <c r="C29" s="18"/>
      <c r="D29" s="18"/>
      <c r="E29" s="19"/>
      <c r="F29" s="20"/>
    </row>
    <row r="30" spans="1:19" s="1" customFormat="1">
      <c r="A30" s="17"/>
      <c r="B30" s="18"/>
      <c r="C30" s="18"/>
      <c r="D30" s="18"/>
      <c r="E30" s="19"/>
      <c r="F30" s="20"/>
    </row>
    <row r="31" spans="1:19" s="1" customFormat="1">
      <c r="A31" s="21" t="s">
        <v>59</v>
      </c>
      <c r="B31" s="2"/>
      <c r="C31" s="2"/>
      <c r="D31" s="2"/>
      <c r="E31" s="2"/>
      <c r="F31" s="2"/>
    </row>
    <row r="32" spans="1:19" s="1" customFormat="1">
      <c r="A32" s="63" t="s">
        <v>17</v>
      </c>
      <c r="B32" s="65" t="s">
        <v>0</v>
      </c>
      <c r="C32" s="66"/>
      <c r="D32" s="63" t="s">
        <v>31</v>
      </c>
      <c r="E32" s="63" t="s">
        <v>18</v>
      </c>
      <c r="F32" s="63" t="s">
        <v>19</v>
      </c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1" s="1" customFormat="1">
      <c r="A33" s="64"/>
      <c r="B33" s="22" t="s">
        <v>28</v>
      </c>
      <c r="C33" s="22" t="s">
        <v>30</v>
      </c>
      <c r="D33" s="64"/>
      <c r="E33" s="64"/>
      <c r="F33" s="64"/>
      <c r="H33" s="2"/>
      <c r="J33" s="2"/>
      <c r="K33" s="2"/>
    </row>
    <row r="34" spans="1:11" s="1" customFormat="1">
      <c r="A34" s="54">
        <v>2</v>
      </c>
      <c r="B34" s="48">
        <f>(MEI!C12+MEI!C13+MEI!C14+MEI!C15+MEI!C16+MEI!C17+MEI!C18+MEI!C19+MEI!C20+MEI!C23)/1000</f>
        <v>9646.6720000000005</v>
      </c>
      <c r="C34" s="36">
        <f>(MEI!C21+MEI!C22)/1000</f>
        <v>1348.635</v>
      </c>
      <c r="D34" s="36">
        <f t="shared" ref="D34:D56" si="2">B34+C34</f>
        <v>10995.307000000001</v>
      </c>
      <c r="E34" s="37">
        <v>12000</v>
      </c>
      <c r="F34" s="38">
        <f>D34/E34</f>
        <v>0.91627558333333337</v>
      </c>
      <c r="H34" s="2"/>
      <c r="J34" s="2"/>
      <c r="K34" s="2"/>
    </row>
    <row r="35" spans="1:11" s="1" customFormat="1">
      <c r="A35" s="54">
        <v>4</v>
      </c>
      <c r="B35" s="48">
        <f>(MEI!D12+MEI!D13+MEI!D14+MEI!D15+MEI!D16+MEI!D17+MEI!D18+MEI!D19+MEI!D20+MEI!D23)/1000</f>
        <v>9866.9509999999991</v>
      </c>
      <c r="C35" s="36">
        <f>(MEI!D21+MEI!D22)/1000</f>
        <v>1445.0419999999999</v>
      </c>
      <c r="D35" s="36">
        <f t="shared" si="2"/>
        <v>11311.992999999999</v>
      </c>
      <c r="E35" s="37">
        <v>12000</v>
      </c>
      <c r="F35" s="38">
        <f t="shared" ref="F35:F56" si="3">D35/E35</f>
        <v>0.94266608333333324</v>
      </c>
    </row>
    <row r="36" spans="1:11" s="1" customFormat="1">
      <c r="A36" s="54">
        <v>5</v>
      </c>
      <c r="B36" s="48">
        <f>(MEI!E12+MEI!E13+MEI!E14+MEI!E15+MEI!E16+MEI!E17+MEI!E18+MEI!E19+MEI!E20+MEI!E23)/1000</f>
        <v>11099.516</v>
      </c>
      <c r="C36" s="36">
        <f>(MEI!E21+MEI!E22)/1000</f>
        <v>1137.549</v>
      </c>
      <c r="D36" s="36">
        <f t="shared" si="2"/>
        <v>12237.064999999999</v>
      </c>
      <c r="E36" s="37">
        <v>12000</v>
      </c>
      <c r="F36" s="38">
        <f t="shared" si="3"/>
        <v>1.0197554166666665</v>
      </c>
    </row>
    <row r="37" spans="1:11" s="1" customFormat="1">
      <c r="A37" s="54">
        <v>6</v>
      </c>
      <c r="B37" s="48">
        <f>(MEI!F12+MEI!F13+MEI!F14+MEI!F15+MEI!F16+MEI!F17+MEI!F18+MEI!F19+MEI!F20+MEI!F23)/1000</f>
        <v>10666.162</v>
      </c>
      <c r="C37" s="36">
        <f>(MEI!F21+MEI!F22)/1000</f>
        <v>1075.9949999999999</v>
      </c>
      <c r="D37" s="36">
        <f t="shared" si="2"/>
        <v>11742.156999999999</v>
      </c>
      <c r="E37" s="37">
        <v>12000</v>
      </c>
      <c r="F37" s="38">
        <f t="shared" si="3"/>
        <v>0.97851308333333331</v>
      </c>
    </row>
    <row r="38" spans="1:11" s="1" customFormat="1">
      <c r="A38" s="54">
        <v>7</v>
      </c>
      <c r="B38" s="48">
        <f>(MEI!G12+MEI!G13+MEI!G14+MEI!G15+MEI!G16+MEI!G17+MEI!G18+MEI!G19+MEI!G20+MEI!G23)/1000</f>
        <v>10809.245999999999</v>
      </c>
      <c r="C38" s="36">
        <f>(MEI!G21+MEI!G22)/1000</f>
        <v>974.44100000000003</v>
      </c>
      <c r="D38" s="36">
        <f t="shared" si="2"/>
        <v>11783.687</v>
      </c>
      <c r="E38" s="37">
        <v>12000</v>
      </c>
      <c r="F38" s="38">
        <f t="shared" si="3"/>
        <v>0.98197391666666667</v>
      </c>
    </row>
    <row r="39" spans="1:11" s="1" customFormat="1">
      <c r="A39" s="54">
        <v>8</v>
      </c>
      <c r="B39" s="48">
        <f>(MEI!H12+MEI!H13+MEI!H14+MEI!H15+MEI!H16+MEI!H17+MEI!H18+MEI!H19+MEI!H20+MEI!H23)/1000</f>
        <v>11472.732</v>
      </c>
      <c r="C39" s="36">
        <f>(MEI!H21+MEI!H22)/1000</f>
        <v>878.73900000000003</v>
      </c>
      <c r="D39" s="36">
        <f t="shared" si="2"/>
        <v>12351.471</v>
      </c>
      <c r="E39" s="37">
        <v>12000</v>
      </c>
      <c r="F39" s="38">
        <f t="shared" si="3"/>
        <v>1.0292892499999999</v>
      </c>
    </row>
    <row r="40" spans="1:11" s="1" customFormat="1">
      <c r="A40" s="54">
        <v>9</v>
      </c>
      <c r="B40" s="48">
        <f>(MEI!I12+MEI!I13+MEI!I14+MEI!I15+MEI!I16+MEI!I17+MEI!I18+MEI!I19+MEI!I20+MEI!I23)/1000</f>
        <v>11289.669</v>
      </c>
      <c r="C40" s="36">
        <f>(MEI!I21+MEI!I22)/1000</f>
        <v>828.41300000000001</v>
      </c>
      <c r="D40" s="36">
        <f t="shared" si="2"/>
        <v>12118.082</v>
      </c>
      <c r="E40" s="37">
        <v>12000</v>
      </c>
      <c r="F40" s="38">
        <f t="shared" si="3"/>
        <v>1.0098401666666668</v>
      </c>
    </row>
    <row r="41" spans="1:11" s="1" customFormat="1">
      <c r="A41" s="54">
        <v>11</v>
      </c>
      <c r="B41" s="48">
        <f>(MEI!J12+MEI!J13+MEI!J14+MEI!J15+MEI!J16+MEI!J17+MEI!J18+MEI!J19+MEI!J20+MEI!J23)/1000</f>
        <v>12097.72</v>
      </c>
      <c r="C41" s="36">
        <f>(MEI!J21+MEI!J22)/1000</f>
        <v>694.34500000000003</v>
      </c>
      <c r="D41" s="36">
        <f t="shared" si="2"/>
        <v>12792.064999999999</v>
      </c>
      <c r="E41" s="37">
        <v>12000</v>
      </c>
      <c r="F41" s="38">
        <f t="shared" si="3"/>
        <v>1.0660054166666666</v>
      </c>
    </row>
    <row r="42" spans="1:11" s="1" customFormat="1">
      <c r="A42" s="54">
        <v>12</v>
      </c>
      <c r="B42" s="48">
        <f>(MEI!K12+MEI!K13+MEI!K14+MEI!K15+MEI!K16+MEI!K17+MEI!K18+MEI!K19+MEI!K20+MEI!K23)/1000</f>
        <v>11816.956</v>
      </c>
      <c r="C42" s="36">
        <f>(MEI!K21+MEI!K22)/1000</f>
        <v>518.19899999999996</v>
      </c>
      <c r="D42" s="36">
        <f t="shared" si="2"/>
        <v>12335.155000000001</v>
      </c>
      <c r="E42" s="37">
        <v>12000</v>
      </c>
      <c r="F42" s="38">
        <f t="shared" si="3"/>
        <v>1.0279295833333333</v>
      </c>
    </row>
    <row r="43" spans="1:11" s="1" customFormat="1">
      <c r="A43" s="54">
        <v>13</v>
      </c>
      <c r="B43" s="48">
        <f>(MEI!L12+MEI!L13+MEI!L14+MEI!L15+MEI!L16+MEI!L17+MEI!L18+MEI!L19+MEI!L20+MEI!L23)/1000</f>
        <v>12256.471</v>
      </c>
      <c r="C43" s="36">
        <f>(MEI!L21+MEI!L22)/1000</f>
        <v>461.42500000000001</v>
      </c>
      <c r="D43" s="36">
        <f t="shared" si="2"/>
        <v>12717.895999999999</v>
      </c>
      <c r="E43" s="37">
        <v>12000</v>
      </c>
      <c r="F43" s="38">
        <f t="shared" si="3"/>
        <v>1.0598246666666666</v>
      </c>
    </row>
    <row r="44" spans="1:11" s="1" customFormat="1">
      <c r="A44" s="54">
        <v>15</v>
      </c>
      <c r="B44" s="48">
        <f>(MEI!M12+MEI!M13+MEI!M14+MEI!M15+MEI!M16+MEI!M17+MEI!M18+MEI!M19+MEI!M20+MEI!M23)/1000</f>
        <v>12168.111999999999</v>
      </c>
      <c r="C44" s="36">
        <f>(MEI!M21+MEI!M22)/1000</f>
        <v>467.39100000000002</v>
      </c>
      <c r="D44" s="36">
        <f t="shared" si="2"/>
        <v>12635.502999999999</v>
      </c>
      <c r="E44" s="37">
        <v>12000</v>
      </c>
      <c r="F44" s="38">
        <f t="shared" si="3"/>
        <v>1.0529585833333333</v>
      </c>
    </row>
    <row r="45" spans="1:11" s="1" customFormat="1">
      <c r="A45" s="54">
        <v>16</v>
      </c>
      <c r="B45" s="48">
        <f>(MEI!N12+MEI!N13+MEI!N14+MEI!N15+MEI!N16+MEI!N17+MEI!N18+MEI!N19+MEI!N20+MEI!N23)/1000</f>
        <v>11939.316999999999</v>
      </c>
      <c r="C45" s="36">
        <f>(MEI!N21+MEI!N22)/1000</f>
        <v>544.279</v>
      </c>
      <c r="D45" s="36">
        <f t="shared" si="2"/>
        <v>12483.596</v>
      </c>
      <c r="E45" s="37">
        <v>12000</v>
      </c>
      <c r="F45" s="38">
        <f t="shared" si="3"/>
        <v>1.0402996666666666</v>
      </c>
    </row>
    <row r="46" spans="1:11" s="1" customFormat="1">
      <c r="A46" s="54">
        <v>18</v>
      </c>
      <c r="B46" s="48">
        <f>(MEI!O12+MEI!O13+MEI!O14+MEI!O15+MEI!O16+MEI!O17+MEI!O18+MEI!O19+MEI!O20+MEI!O23)/1000</f>
        <v>13418.11</v>
      </c>
      <c r="C46" s="36">
        <f>(MEI!O21+MEI!O22)/1000</f>
        <v>439.012</v>
      </c>
      <c r="D46" s="36">
        <f t="shared" si="2"/>
        <v>13857.122000000001</v>
      </c>
      <c r="E46" s="37">
        <v>12000</v>
      </c>
      <c r="F46" s="38">
        <f t="shared" si="3"/>
        <v>1.1547601666666667</v>
      </c>
    </row>
    <row r="47" spans="1:11" s="1" customFormat="1">
      <c r="A47" s="54">
        <v>19</v>
      </c>
      <c r="B47" s="48">
        <f>(MEI!P12+MEI!P13+MEI!P14+MEI!P15+MEI!P16+MEI!P17+MEI!P18+MEI!P19+MEI!P20+MEI!P23)/1000</f>
        <v>13040.633</v>
      </c>
      <c r="C47" s="36">
        <f>(MEI!P21+MEI!P22)/1000</f>
        <v>1119.6020000000001</v>
      </c>
      <c r="D47" s="36">
        <f t="shared" si="2"/>
        <v>14160.235000000001</v>
      </c>
      <c r="E47" s="37">
        <v>12000</v>
      </c>
      <c r="F47" s="38">
        <f t="shared" si="3"/>
        <v>1.1800195833333333</v>
      </c>
    </row>
    <row r="48" spans="1:11" s="1" customFormat="1">
      <c r="A48" s="54">
        <v>20</v>
      </c>
      <c r="B48" s="48">
        <f>(MEI!Q12+MEI!Q13+MEI!Q14+MEI!Q15+MEI!Q16+MEI!Q17+MEI!Q18+MEI!Q19+MEI!Q20+MEI!Q23)/1000</f>
        <v>12727.114</v>
      </c>
      <c r="C48" s="36">
        <f>(MEI!Q21+MEI!Q22)/1000</f>
        <v>966.87599999999998</v>
      </c>
      <c r="D48" s="36">
        <f t="shared" si="2"/>
        <v>13693.99</v>
      </c>
      <c r="E48" s="37">
        <v>12000</v>
      </c>
      <c r="F48" s="38">
        <f t="shared" si="3"/>
        <v>1.1411658333333332</v>
      </c>
    </row>
    <row r="49" spans="1:27" s="1" customFormat="1" ht="15.75">
      <c r="A49" s="54">
        <v>21</v>
      </c>
      <c r="B49" s="48">
        <f>(MEI!R12+MEI!R13+MEI!R14+MEI!R15+MEI!R16+MEI!R17+MEI!R18+MEI!R19+MEI!R20+MEI!R23)/1000</f>
        <v>12585.436</v>
      </c>
      <c r="C49" s="36">
        <f>(MEI!R21+MEI!R22)/1000</f>
        <v>1214.0940000000001</v>
      </c>
      <c r="D49" s="36">
        <f t="shared" si="2"/>
        <v>13799.529999999999</v>
      </c>
      <c r="E49" s="37">
        <v>12000</v>
      </c>
      <c r="F49" s="38">
        <f t="shared" si="3"/>
        <v>1.1499608333333333</v>
      </c>
      <c r="H49" s="8" t="s">
        <v>22</v>
      </c>
    </row>
    <row r="50" spans="1:27" s="1" customFormat="1" ht="15.75">
      <c r="A50" s="54">
        <v>22</v>
      </c>
      <c r="B50" s="48">
        <f>(MEI!S12+MEI!S13+MEI!S14+MEI!S15+MEI!S16+MEI!S17+MEI!S18+MEI!S19+MEI!S20+MEI!S23)/1000</f>
        <v>12773.584000000001</v>
      </c>
      <c r="C50" s="36">
        <f>(MEI!S21+MEI!S22)/1000</f>
        <v>1060.4570000000001</v>
      </c>
      <c r="D50" s="36">
        <f t="shared" si="2"/>
        <v>13834.041000000001</v>
      </c>
      <c r="E50" s="37">
        <v>12000</v>
      </c>
      <c r="F50" s="38">
        <f t="shared" si="3"/>
        <v>1.1528367500000001</v>
      </c>
      <c r="H50" s="8" t="s">
        <v>23</v>
      </c>
    </row>
    <row r="51" spans="1:27" s="1" customFormat="1" ht="15.75">
      <c r="A51" s="54">
        <v>23</v>
      </c>
      <c r="B51" s="48">
        <f>(MEI!T12+MEI!T13+MEI!T14+MEI!T15+MEI!T16+MEI!T17+MEI!T18+MEI!T19+MEI!T20+MEI!T23)/1000</f>
        <v>12794.937</v>
      </c>
      <c r="C51" s="36">
        <f>(MEI!T21+MEI!T22)/1000</f>
        <v>982.95600000000002</v>
      </c>
      <c r="D51" s="36">
        <f t="shared" si="2"/>
        <v>13777.893</v>
      </c>
      <c r="E51" s="37">
        <v>12000</v>
      </c>
      <c r="F51" s="38">
        <f t="shared" si="3"/>
        <v>1.14815775</v>
      </c>
      <c r="H51" s="8" t="s">
        <v>24</v>
      </c>
      <c r="I51" s="8"/>
      <c r="J51" s="39">
        <v>12000</v>
      </c>
      <c r="K51" s="8" t="s">
        <v>25</v>
      </c>
    </row>
    <row r="52" spans="1:27" s="1" customFormat="1" ht="15.75">
      <c r="A52" s="54">
        <v>25</v>
      </c>
      <c r="B52" s="48">
        <f>(MEI!U12+MEI!U13+MEI!U14+MEI!U15+MEI!U16+MEI!U17+MEI!U18+MEI!U19+MEI!U20+MEI!U23)/1000</f>
        <v>13507.359</v>
      </c>
      <c r="C52" s="36">
        <f>(MEI!U21+MEI!U22)/1000</f>
        <v>1259.943</v>
      </c>
      <c r="D52" s="36">
        <f t="shared" si="2"/>
        <v>14767.302</v>
      </c>
      <c r="E52" s="37">
        <v>12000</v>
      </c>
      <c r="F52" s="38">
        <f t="shared" si="3"/>
        <v>1.2306085</v>
      </c>
      <c r="H52" s="58" t="s">
        <v>60</v>
      </c>
      <c r="I52" s="58"/>
      <c r="J52" s="9">
        <v>11470</v>
      </c>
      <c r="K52" s="8" t="s">
        <v>25</v>
      </c>
    </row>
    <row r="53" spans="1:27" s="1" customFormat="1" ht="15.75">
      <c r="A53" s="54">
        <v>26</v>
      </c>
      <c r="B53" s="48">
        <f>(MEI!V12+MEI!V13+MEI!V14+MEI!V15+MEI!V16+MEI!V17+MEI!V18+MEI!V19+MEI!V20+MEI!V23)/1000</f>
        <v>12294.134</v>
      </c>
      <c r="C53" s="36">
        <f>(MEI!V21+MEI!V22)/1000</f>
        <v>1112.3</v>
      </c>
      <c r="D53" s="36">
        <f t="shared" si="2"/>
        <v>13406.433999999999</v>
      </c>
      <c r="E53" s="37">
        <v>12000</v>
      </c>
      <c r="F53" s="38">
        <f t="shared" si="3"/>
        <v>1.1172028333333333</v>
      </c>
      <c r="H53" s="8" t="s">
        <v>26</v>
      </c>
      <c r="I53" s="8"/>
      <c r="J53" s="40">
        <f>J52/J51</f>
        <v>0.95583333333333331</v>
      </c>
      <c r="K53" s="8" t="s">
        <v>25</v>
      </c>
    </row>
    <row r="54" spans="1:27" s="1" customFormat="1" ht="15.75">
      <c r="A54" s="54">
        <v>28</v>
      </c>
      <c r="B54" s="48">
        <f>(MEI!W12+MEI!W13+MEI!W14+MEI!W15+MEI!W16+MEI!W17+MEI!W18+MEI!W19+MEI!W20+MEI!W23)/1000</f>
        <v>11976.592000000001</v>
      </c>
      <c r="C54" s="36">
        <f>(MEI!W21+MEI!W22)/1000</f>
        <v>1266.4159999999999</v>
      </c>
      <c r="D54" s="36">
        <f t="shared" si="2"/>
        <v>13243.008</v>
      </c>
      <c r="E54" s="37">
        <v>12000</v>
      </c>
      <c r="F54" s="38">
        <f t="shared" si="3"/>
        <v>1.1035839999999999</v>
      </c>
      <c r="H54" s="8" t="s">
        <v>27</v>
      </c>
      <c r="I54" s="8"/>
      <c r="J54" s="40">
        <f>100%-J53</f>
        <v>4.4166666666666687E-2</v>
      </c>
      <c r="K54" s="8" t="s">
        <v>25</v>
      </c>
    </row>
    <row r="55" spans="1:27" s="1" customFormat="1" ht="15.75">
      <c r="A55" s="54">
        <v>29</v>
      </c>
      <c r="B55" s="48">
        <f>(MEI!X12+MEI!X13+MEI!X14+MEI!X15+MEI!X16+MEI!X18+MEI!X19+MEI!X20+MEI!X23)/1000</f>
        <v>8678.6859999999997</v>
      </c>
      <c r="C55" s="36">
        <f>(MEI!X21+MEI!X22)/1000</f>
        <v>1243.1179999999999</v>
      </c>
      <c r="D55" s="36">
        <f t="shared" si="2"/>
        <v>9921.8040000000001</v>
      </c>
      <c r="E55" s="37">
        <v>12000</v>
      </c>
      <c r="F55" s="38">
        <f t="shared" si="3"/>
        <v>0.82681700000000002</v>
      </c>
      <c r="H55" s="8"/>
      <c r="I55" s="8"/>
      <c r="J55" s="40"/>
      <c r="K55" s="8"/>
    </row>
    <row r="56" spans="1:27" s="1" customFormat="1" ht="15.75">
      <c r="A56" s="54">
        <v>30</v>
      </c>
      <c r="B56" s="48">
        <f>(MEI!Y12+MEI!Y13+MEI!Y14+MEI!Y15+MEI!Y16+MEI!Y17+MEI!Y18+MEI!Y19+MEI!Y20+MEI!Y23)/1000</f>
        <v>10500.629000000001</v>
      </c>
      <c r="C56" s="36">
        <f>(MEI!Y21+MEI!Y22)/1000</f>
        <v>969.71799999999996</v>
      </c>
      <c r="D56" s="36">
        <f t="shared" si="2"/>
        <v>11470.347000000002</v>
      </c>
      <c r="E56" s="37">
        <v>12000</v>
      </c>
      <c r="F56" s="38">
        <f t="shared" si="3"/>
        <v>0.95586225000000014</v>
      </c>
      <c r="H56" s="8"/>
      <c r="I56" s="8"/>
      <c r="J56" s="40"/>
      <c r="K56" s="8"/>
    </row>
    <row r="57" spans="1:27" s="1" customFormat="1" ht="15.75">
      <c r="A57" s="23"/>
      <c r="B57" s="24">
        <f>AVERAGE(B34:B56)</f>
        <v>11714.206</v>
      </c>
      <c r="C57" s="24">
        <f>AVERAGE(C34:C56)</f>
        <v>956.91065217391304</v>
      </c>
      <c r="D57" s="24">
        <f>AVERAGE(D34:D56)</f>
        <v>12671.116652173911</v>
      </c>
      <c r="E57" s="24">
        <f>AVERAGE(E34:E56)</f>
        <v>12000</v>
      </c>
      <c r="F57" s="46">
        <f>AVERAGE(F34:F56)</f>
        <v>1.0559263876811593</v>
      </c>
      <c r="H57" s="8"/>
      <c r="I57" s="8"/>
      <c r="J57" s="40"/>
      <c r="K57" s="8"/>
    </row>
    <row r="58" spans="1:27" s="1" customFormat="1" ht="15.75">
      <c r="A58" s="13" t="s">
        <v>21</v>
      </c>
      <c r="B58" s="14">
        <f>MAX(B34:B56)</f>
        <v>13507.359</v>
      </c>
      <c r="C58" s="14">
        <f>MAX(C34:C56)</f>
        <v>1445.0419999999999</v>
      </c>
      <c r="D58" s="14">
        <f>MAX(D34:D56)</f>
        <v>14767.302</v>
      </c>
      <c r="E58" s="15">
        <v>12000</v>
      </c>
      <c r="F58" s="16">
        <f>D58/E58</f>
        <v>1.2306085</v>
      </c>
      <c r="H58" s="8"/>
      <c r="I58" s="8"/>
      <c r="J58" s="40"/>
      <c r="K58" s="8"/>
    </row>
    <row r="59" spans="1:27" s="1" customFormat="1">
      <c r="A59" s="17"/>
      <c r="B59" s="18"/>
      <c r="C59" s="18"/>
      <c r="D59" s="18"/>
      <c r="E59" s="19"/>
      <c r="F59" s="20"/>
    </row>
    <row r="60" spans="1:27">
      <c r="A60" s="17"/>
      <c r="B60" s="18"/>
      <c r="C60" s="18"/>
      <c r="D60" s="18"/>
      <c r="E60" s="19"/>
      <c r="F60" s="20"/>
      <c r="T60" s="1"/>
      <c r="U60" s="1"/>
      <c r="V60" s="1"/>
      <c r="W60" s="1"/>
      <c r="X60" s="1"/>
      <c r="Y60" s="1"/>
      <c r="Z60" s="1"/>
      <c r="AA60" s="1"/>
    </row>
    <row r="61" spans="1:27">
      <c r="T61" s="1"/>
    </row>
    <row r="62" spans="1:27">
      <c r="T62" s="1"/>
    </row>
    <row r="63" spans="1:27">
      <c r="T63" s="1"/>
    </row>
    <row r="64" spans="1:27">
      <c r="T64" s="1"/>
    </row>
  </sheetData>
  <mergeCells count="12">
    <mergeCell ref="H52:I52"/>
    <mergeCell ref="A2:A3"/>
    <mergeCell ref="B2:C2"/>
    <mergeCell ref="D2:D3"/>
    <mergeCell ref="E2:E3"/>
    <mergeCell ref="F2:F3"/>
    <mergeCell ref="H21:I21"/>
    <mergeCell ref="A32:A33"/>
    <mergeCell ref="B32:C32"/>
    <mergeCell ref="D32:D33"/>
    <mergeCell ref="E32:E33"/>
    <mergeCell ref="F32:F33"/>
  </mergeCells>
  <pageMargins left="0.7" right="0.7" top="0.75" bottom="0.75" header="0.3" footer="0.3"/>
  <pageSetup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746B-6A8F-417C-BF55-1AC3F7D25B55}">
  <sheetPr>
    <tabColor rgb="FFFAB6E3"/>
  </sheetPr>
  <dimension ref="A1:AA28"/>
  <sheetViews>
    <sheetView zoomScale="93" zoomScaleNormal="93" workbookViewId="0">
      <pane xSplit="2" ySplit="4" topLeftCell="N11" activePane="bottomRight" state="frozen"/>
      <selection activeCell="J63" sqref="J63"/>
      <selection pane="topRight" activeCell="J63" sqref="J63"/>
      <selection pane="bottomLeft" activeCell="J63" sqref="J63"/>
      <selection pane="bottomRight" activeCell="Z25" sqref="Z25"/>
    </sheetView>
  </sheetViews>
  <sheetFormatPr defaultColWidth="9.140625" defaultRowHeight="15"/>
  <cols>
    <col min="1" max="1" width="18.5703125" customWidth="1"/>
    <col min="2" max="2" width="22.85546875" customWidth="1"/>
    <col min="3" max="6" width="10.85546875" customWidth="1"/>
    <col min="7" max="7" width="10.85546875" bestFit="1" customWidth="1"/>
    <col min="8" max="8" width="10.85546875" customWidth="1"/>
    <col min="9" max="10" width="9.7109375" customWidth="1"/>
    <col min="11" max="26" width="10.85546875" customWidth="1"/>
    <col min="27" max="27" width="11.42578125" customWidth="1"/>
  </cols>
  <sheetData>
    <row r="1" spans="1:27" ht="18.75">
      <c r="A1" s="25" t="s">
        <v>56</v>
      </c>
      <c r="B1" s="26"/>
    </row>
    <row r="2" spans="1:27" ht="15.95" customHeight="1">
      <c r="A2" s="27"/>
      <c r="B2" s="28"/>
    </row>
    <row r="3" spans="1:27" ht="18.75" customHeight="1">
      <c r="A3" s="67" t="s">
        <v>0</v>
      </c>
      <c r="B3" s="67"/>
      <c r="C3" s="29">
        <v>2</v>
      </c>
      <c r="D3" s="29">
        <v>3</v>
      </c>
      <c r="E3" s="29">
        <v>4</v>
      </c>
      <c r="F3" s="29">
        <v>5</v>
      </c>
      <c r="G3" s="29">
        <v>6</v>
      </c>
      <c r="H3" s="29">
        <v>8</v>
      </c>
      <c r="I3" s="29">
        <v>9</v>
      </c>
      <c r="J3" s="29">
        <v>10</v>
      </c>
      <c r="K3" s="29">
        <v>11</v>
      </c>
      <c r="L3" s="29">
        <v>12</v>
      </c>
      <c r="M3" s="29">
        <v>13</v>
      </c>
      <c r="N3" s="29">
        <v>15</v>
      </c>
      <c r="O3" s="29">
        <v>17</v>
      </c>
      <c r="P3" s="29">
        <v>18</v>
      </c>
      <c r="Q3" s="29">
        <v>19</v>
      </c>
      <c r="R3" s="29">
        <v>20</v>
      </c>
      <c r="S3" s="29">
        <v>22</v>
      </c>
      <c r="T3" s="29">
        <v>23</v>
      </c>
      <c r="U3" s="29">
        <v>24</v>
      </c>
      <c r="V3" s="29">
        <v>25</v>
      </c>
      <c r="W3" s="29">
        <v>26</v>
      </c>
      <c r="X3" s="29">
        <v>27</v>
      </c>
      <c r="Y3" s="29">
        <v>29</v>
      </c>
      <c r="Z3" s="29">
        <v>30</v>
      </c>
      <c r="AA3" s="34" t="s">
        <v>1</v>
      </c>
    </row>
    <row r="4" spans="1:27" ht="9" customHeight="1">
      <c r="A4" s="3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34"/>
    </row>
    <row r="5" spans="1:27" ht="18.75" customHeight="1">
      <c r="A5" s="68" t="s">
        <v>2</v>
      </c>
      <c r="B5" s="31" t="s">
        <v>3</v>
      </c>
      <c r="C5" s="49">
        <v>4089140</v>
      </c>
      <c r="D5" s="49">
        <v>3507585</v>
      </c>
      <c r="E5" s="32">
        <v>2713960</v>
      </c>
      <c r="F5" s="32">
        <v>2484270</v>
      </c>
      <c r="G5" s="32">
        <v>2409145</v>
      </c>
      <c r="H5" s="32">
        <v>2645700</v>
      </c>
      <c r="I5" s="32">
        <v>2712370</v>
      </c>
      <c r="J5" s="32">
        <v>2999335</v>
      </c>
      <c r="K5" s="32">
        <v>2984660</v>
      </c>
      <c r="L5" s="32">
        <v>2900050</v>
      </c>
      <c r="M5" s="32">
        <v>3294920</v>
      </c>
      <c r="N5" s="32">
        <v>5338820</v>
      </c>
      <c r="O5" s="32">
        <v>6817505</v>
      </c>
      <c r="P5" s="32">
        <v>6986205</v>
      </c>
      <c r="Q5" s="32">
        <v>7137210</v>
      </c>
      <c r="R5" s="32">
        <v>7232040</v>
      </c>
      <c r="S5" s="32">
        <v>7480815</v>
      </c>
      <c r="T5" s="32">
        <v>7697025</v>
      </c>
      <c r="U5" s="32">
        <v>8093425</v>
      </c>
      <c r="V5" s="32">
        <v>7542365</v>
      </c>
      <c r="W5" s="32">
        <v>7559875</v>
      </c>
      <c r="X5" s="32">
        <v>7688095</v>
      </c>
      <c r="Y5" s="32">
        <v>7229399</v>
      </c>
      <c r="Z5" s="32">
        <v>6732031</v>
      </c>
      <c r="AA5" s="35">
        <f t="shared" ref="AA5:AA25" si="0">AVERAGE(C5:Z5)</f>
        <v>5261497.708333333</v>
      </c>
    </row>
    <row r="6" spans="1:27" ht="18.75" customHeight="1">
      <c r="A6" s="69"/>
      <c r="B6" s="31" t="s">
        <v>4</v>
      </c>
      <c r="C6" s="32">
        <v>324846</v>
      </c>
      <c r="D6" s="32">
        <v>316412</v>
      </c>
      <c r="E6" s="32">
        <v>308039</v>
      </c>
      <c r="F6" s="32">
        <v>298242</v>
      </c>
      <c r="G6" s="32">
        <v>284246</v>
      </c>
      <c r="H6" s="32">
        <v>260494</v>
      </c>
      <c r="I6" s="32">
        <v>249277</v>
      </c>
      <c r="J6" s="32">
        <v>243671</v>
      </c>
      <c r="K6" s="32">
        <v>231132</v>
      </c>
      <c r="L6" s="32">
        <v>219990</v>
      </c>
      <c r="M6" s="32">
        <v>213012</v>
      </c>
      <c r="N6" s="32">
        <v>213012</v>
      </c>
      <c r="O6" s="32">
        <v>213012</v>
      </c>
      <c r="P6" s="32">
        <v>213012</v>
      </c>
      <c r="Q6" s="32">
        <v>213012</v>
      </c>
      <c r="R6" s="32">
        <v>208772</v>
      </c>
      <c r="S6" s="32">
        <v>208772</v>
      </c>
      <c r="T6" s="32">
        <v>208772</v>
      </c>
      <c r="U6" s="32">
        <v>208772</v>
      </c>
      <c r="V6" s="32">
        <v>199012</v>
      </c>
      <c r="W6" s="32">
        <v>186428</v>
      </c>
      <c r="X6" s="32">
        <v>504248</v>
      </c>
      <c r="Y6" s="32">
        <v>484668</v>
      </c>
      <c r="Z6" s="32">
        <v>477672</v>
      </c>
      <c r="AA6" s="35">
        <f t="shared" si="0"/>
        <v>270355.20833333331</v>
      </c>
    </row>
    <row r="7" spans="1:27" ht="18.75" customHeight="1">
      <c r="A7" s="69"/>
      <c r="B7" s="31" t="s">
        <v>5</v>
      </c>
      <c r="C7" s="32">
        <v>430918</v>
      </c>
      <c r="D7" s="32">
        <v>476332</v>
      </c>
      <c r="E7" s="32">
        <v>469696</v>
      </c>
      <c r="F7" s="32">
        <v>456455</v>
      </c>
      <c r="G7" s="32">
        <v>429977</v>
      </c>
      <c r="H7" s="32">
        <v>429977</v>
      </c>
      <c r="I7" s="32">
        <v>409040</v>
      </c>
      <c r="J7" s="32">
        <v>654186</v>
      </c>
      <c r="K7" s="32">
        <v>645367</v>
      </c>
      <c r="L7" s="32">
        <v>637638</v>
      </c>
      <c r="M7" s="32">
        <v>631025</v>
      </c>
      <c r="N7" s="32">
        <v>631025</v>
      </c>
      <c r="O7" s="32">
        <v>631025</v>
      </c>
      <c r="P7" s="32">
        <v>631025</v>
      </c>
      <c r="Q7" s="32">
        <v>601127</v>
      </c>
      <c r="R7" s="32">
        <v>598922</v>
      </c>
      <c r="S7" s="32">
        <v>596709</v>
      </c>
      <c r="T7" s="32">
        <v>596709</v>
      </c>
      <c r="U7" s="32">
        <v>596709</v>
      </c>
      <c r="V7" s="32">
        <v>594494</v>
      </c>
      <c r="W7" s="32">
        <v>588952</v>
      </c>
      <c r="X7" s="32">
        <v>584524</v>
      </c>
      <c r="Y7" s="32">
        <v>571246</v>
      </c>
      <c r="Z7" s="32">
        <v>564620</v>
      </c>
      <c r="AA7" s="35">
        <f t="shared" si="0"/>
        <v>560737.41666666663</v>
      </c>
    </row>
    <row r="8" spans="1:27" ht="18.75" customHeight="1">
      <c r="A8" s="69"/>
      <c r="B8" s="31" t="s">
        <v>6</v>
      </c>
      <c r="C8" s="32">
        <v>4800</v>
      </c>
      <c r="D8" s="32">
        <v>4800</v>
      </c>
      <c r="E8" s="32">
        <v>2400</v>
      </c>
      <c r="F8" s="32">
        <v>2400</v>
      </c>
      <c r="G8" s="32">
        <v>6000</v>
      </c>
      <c r="H8" s="32">
        <v>6000</v>
      </c>
      <c r="I8" s="32">
        <v>3600</v>
      </c>
      <c r="J8" s="32">
        <v>3600</v>
      </c>
      <c r="K8" s="32">
        <v>3600</v>
      </c>
      <c r="L8" s="32">
        <v>3600</v>
      </c>
      <c r="M8" s="32">
        <v>3600</v>
      </c>
      <c r="N8" s="32">
        <v>3600</v>
      </c>
      <c r="O8" s="32">
        <v>3600</v>
      </c>
      <c r="P8" s="32">
        <v>3600</v>
      </c>
      <c r="Q8" s="32">
        <v>1200</v>
      </c>
      <c r="R8" s="32">
        <v>1200</v>
      </c>
      <c r="S8" s="32">
        <v>4800</v>
      </c>
      <c r="T8" s="32">
        <v>4800</v>
      </c>
      <c r="U8" s="32">
        <v>4800</v>
      </c>
      <c r="V8" s="32">
        <v>4800</v>
      </c>
      <c r="W8" s="32">
        <v>2400</v>
      </c>
      <c r="X8" s="32">
        <v>2400</v>
      </c>
      <c r="Y8" s="32">
        <v>6000</v>
      </c>
      <c r="Z8" s="32">
        <v>6000</v>
      </c>
      <c r="AA8" s="35">
        <f t="shared" si="0"/>
        <v>3900</v>
      </c>
    </row>
    <row r="9" spans="1:27" ht="18.75" customHeight="1">
      <c r="A9" s="69"/>
      <c r="B9" s="31" t="s">
        <v>7</v>
      </c>
      <c r="C9" s="32">
        <v>17620</v>
      </c>
      <c r="D9" s="32">
        <v>17620</v>
      </c>
      <c r="E9" s="32">
        <v>16620</v>
      </c>
      <c r="F9" s="32">
        <v>14620</v>
      </c>
      <c r="G9" s="32">
        <v>17620</v>
      </c>
      <c r="H9" s="32">
        <v>14620</v>
      </c>
      <c r="I9" s="32">
        <v>13920</v>
      </c>
      <c r="J9" s="32">
        <v>13920</v>
      </c>
      <c r="K9" s="32">
        <v>19920</v>
      </c>
      <c r="L9" s="32">
        <v>17920</v>
      </c>
      <c r="M9" s="32">
        <v>15920</v>
      </c>
      <c r="N9" s="32">
        <v>22920</v>
      </c>
      <c r="O9" s="32">
        <v>22920</v>
      </c>
      <c r="P9" s="32">
        <v>22920</v>
      </c>
      <c r="Q9" s="32">
        <v>22920</v>
      </c>
      <c r="R9" s="32">
        <v>22920</v>
      </c>
      <c r="S9" s="32">
        <v>16920</v>
      </c>
      <c r="T9" s="32">
        <v>16920</v>
      </c>
      <c r="U9" s="32">
        <v>16920</v>
      </c>
      <c r="V9" s="32">
        <v>16920</v>
      </c>
      <c r="W9" s="32">
        <v>15800</v>
      </c>
      <c r="X9" s="32">
        <v>15800</v>
      </c>
      <c r="Y9" s="32">
        <v>18800</v>
      </c>
      <c r="Z9" s="32">
        <v>18800</v>
      </c>
      <c r="AA9" s="35">
        <f t="shared" si="0"/>
        <v>17991.666666666668</v>
      </c>
    </row>
    <row r="10" spans="1:27" ht="18.75" customHeight="1">
      <c r="A10" s="69"/>
      <c r="B10" s="45" t="s">
        <v>29</v>
      </c>
      <c r="C10" s="44">
        <v>281764</v>
      </c>
      <c r="D10" s="44">
        <v>189709</v>
      </c>
      <c r="E10" s="44">
        <v>338522</v>
      </c>
      <c r="F10" s="44">
        <v>236907</v>
      </c>
      <c r="G10" s="44">
        <v>328047</v>
      </c>
      <c r="H10" s="44">
        <v>441292</v>
      </c>
      <c r="I10" s="44">
        <v>301359</v>
      </c>
      <c r="J10" s="44">
        <v>411351</v>
      </c>
      <c r="K10" s="44">
        <v>331710</v>
      </c>
      <c r="L10" s="44">
        <v>259838</v>
      </c>
      <c r="M10" s="44">
        <v>108065</v>
      </c>
      <c r="N10" s="44">
        <v>106955</v>
      </c>
      <c r="O10" s="44">
        <v>80770</v>
      </c>
      <c r="P10" s="44">
        <v>282230</v>
      </c>
      <c r="Q10" s="44">
        <v>31043</v>
      </c>
      <c r="R10" s="44">
        <v>193397</v>
      </c>
      <c r="S10" s="44">
        <v>224590</v>
      </c>
      <c r="T10" s="44">
        <v>295325</v>
      </c>
      <c r="U10" s="44">
        <v>330395</v>
      </c>
      <c r="V10" s="44">
        <v>248198</v>
      </c>
      <c r="W10" s="44">
        <v>168222</v>
      </c>
      <c r="X10" s="44">
        <v>311022</v>
      </c>
      <c r="Y10" s="44">
        <v>256577</v>
      </c>
      <c r="Z10" s="44">
        <v>327565</v>
      </c>
      <c r="AA10" s="35">
        <f t="shared" si="0"/>
        <v>253535.54166666666</v>
      </c>
    </row>
    <row r="11" spans="1:27" ht="18.75" customHeight="1">
      <c r="A11" s="69"/>
      <c r="B11" s="45" t="s">
        <v>32</v>
      </c>
      <c r="C11" s="44">
        <v>360440</v>
      </c>
      <c r="D11" s="44">
        <v>360440</v>
      </c>
      <c r="E11" s="44">
        <v>360440</v>
      </c>
      <c r="F11" s="44">
        <v>360440</v>
      </c>
      <c r="G11" s="44">
        <v>360440</v>
      </c>
      <c r="H11" s="44">
        <v>360440</v>
      </c>
      <c r="I11" s="44">
        <v>360440</v>
      </c>
      <c r="J11" s="44">
        <v>360440</v>
      </c>
      <c r="K11" s="44">
        <v>360440</v>
      </c>
      <c r="L11" s="44">
        <v>360440</v>
      </c>
      <c r="M11" s="44">
        <v>360440</v>
      </c>
      <c r="N11" s="44">
        <v>362737</v>
      </c>
      <c r="O11" s="44">
        <v>360440</v>
      </c>
      <c r="P11" s="44">
        <v>360440</v>
      </c>
      <c r="Q11" s="44">
        <v>360440</v>
      </c>
      <c r="R11" s="44">
        <v>360440</v>
      </c>
      <c r="S11" s="44">
        <v>360440</v>
      </c>
      <c r="T11" s="44">
        <v>346035</v>
      </c>
      <c r="U11" s="44">
        <v>346035</v>
      </c>
      <c r="V11" s="44">
        <v>346335</v>
      </c>
      <c r="W11" s="44">
        <v>473615</v>
      </c>
      <c r="X11" s="44">
        <v>473615</v>
      </c>
      <c r="Y11" s="44">
        <v>473615</v>
      </c>
      <c r="Z11" s="44">
        <v>404095</v>
      </c>
      <c r="AA11" s="35">
        <f t="shared" si="0"/>
        <v>374713.41666666669</v>
      </c>
    </row>
    <row r="12" spans="1:27" ht="18.75" customHeight="1">
      <c r="A12" s="70" t="s">
        <v>8</v>
      </c>
      <c r="B12" s="31" t="s">
        <v>9</v>
      </c>
      <c r="C12" s="32">
        <v>2938444</v>
      </c>
      <c r="D12" s="32">
        <v>2757505</v>
      </c>
      <c r="E12" s="32">
        <v>2566134</v>
      </c>
      <c r="F12" s="32">
        <v>2566134</v>
      </c>
      <c r="G12" s="32">
        <v>2678349</v>
      </c>
      <c r="H12" s="32">
        <v>3824204</v>
      </c>
      <c r="I12" s="32">
        <v>4150122</v>
      </c>
      <c r="J12" s="32">
        <v>3883064</v>
      </c>
      <c r="K12" s="32">
        <v>3995350</v>
      </c>
      <c r="L12" s="32">
        <v>4573627</v>
      </c>
      <c r="M12" s="32">
        <v>4768256</v>
      </c>
      <c r="N12" s="32">
        <v>4297674</v>
      </c>
      <c r="O12" s="32">
        <v>3830083</v>
      </c>
      <c r="P12" s="32">
        <v>3142859</v>
      </c>
      <c r="Q12" s="32">
        <v>2732133</v>
      </c>
      <c r="R12" s="32">
        <v>2411449</v>
      </c>
      <c r="S12" s="32">
        <v>2543238</v>
      </c>
      <c r="T12" s="32">
        <v>2223460</v>
      </c>
      <c r="U12" s="32">
        <v>2000439</v>
      </c>
      <c r="V12" s="32">
        <v>2389856</v>
      </c>
      <c r="W12" s="32">
        <v>1713290</v>
      </c>
      <c r="X12" s="32">
        <v>1321487</v>
      </c>
      <c r="Y12" s="32">
        <v>2018336</v>
      </c>
      <c r="Z12" s="32">
        <v>1429503</v>
      </c>
      <c r="AA12" s="35">
        <f t="shared" si="0"/>
        <v>2948124.8333333335</v>
      </c>
    </row>
    <row r="13" spans="1:27" ht="18.75" customHeight="1">
      <c r="A13" s="71"/>
      <c r="B13" s="31" t="s">
        <v>33</v>
      </c>
      <c r="C13" s="32">
        <v>454879</v>
      </c>
      <c r="D13" s="32">
        <v>442620</v>
      </c>
      <c r="E13" s="32">
        <v>499345</v>
      </c>
      <c r="F13" s="32">
        <v>497264</v>
      </c>
      <c r="G13" s="32">
        <v>497264</v>
      </c>
      <c r="H13" s="32">
        <v>636214</v>
      </c>
      <c r="I13" s="32">
        <v>582398</v>
      </c>
      <c r="J13" s="32">
        <v>602785</v>
      </c>
      <c r="K13" s="32">
        <v>552199</v>
      </c>
      <c r="L13" s="32">
        <v>552199</v>
      </c>
      <c r="M13" s="32">
        <v>646584</v>
      </c>
      <c r="N13" s="32">
        <v>662704</v>
      </c>
      <c r="O13" s="32">
        <v>658195</v>
      </c>
      <c r="P13" s="32">
        <v>650449</v>
      </c>
      <c r="Q13" s="32">
        <v>649740</v>
      </c>
      <c r="R13" s="32">
        <v>620557</v>
      </c>
      <c r="S13" s="32">
        <v>595977</v>
      </c>
      <c r="T13" s="32">
        <v>458288</v>
      </c>
      <c r="U13" s="32">
        <v>439513</v>
      </c>
      <c r="V13" s="32">
        <v>465236</v>
      </c>
      <c r="W13" s="32">
        <v>461770</v>
      </c>
      <c r="X13" s="32">
        <v>490747</v>
      </c>
      <c r="Y13" s="32">
        <v>532826</v>
      </c>
      <c r="Z13" s="32">
        <v>501747</v>
      </c>
      <c r="AA13" s="35">
        <f t="shared" si="0"/>
        <v>547979.16666666663</v>
      </c>
    </row>
    <row r="14" spans="1:27" ht="18.75" customHeight="1">
      <c r="A14" s="71"/>
      <c r="B14" s="31" t="s">
        <v>34</v>
      </c>
      <c r="C14" s="32">
        <v>61574</v>
      </c>
      <c r="D14" s="32">
        <v>73290</v>
      </c>
      <c r="E14" s="32">
        <v>73290</v>
      </c>
      <c r="F14" s="32">
        <v>73290</v>
      </c>
      <c r="G14" s="32">
        <v>71314</v>
      </c>
      <c r="H14" s="32">
        <v>44443</v>
      </c>
      <c r="I14" s="32">
        <v>28536</v>
      </c>
      <c r="J14" s="32">
        <v>28536</v>
      </c>
      <c r="K14" s="32">
        <v>28941</v>
      </c>
      <c r="L14" s="32">
        <v>28941</v>
      </c>
      <c r="M14" s="32">
        <v>28941</v>
      </c>
      <c r="N14" s="32">
        <v>28941</v>
      </c>
      <c r="O14" s="32">
        <v>28941</v>
      </c>
      <c r="P14" s="32">
        <v>28941</v>
      </c>
      <c r="Q14" s="32">
        <v>52155</v>
      </c>
      <c r="R14" s="32">
        <v>52155</v>
      </c>
      <c r="S14" s="32">
        <v>52256</v>
      </c>
      <c r="T14" s="32">
        <v>49439</v>
      </c>
      <c r="U14" s="32">
        <v>49439</v>
      </c>
      <c r="V14" s="32">
        <v>49439</v>
      </c>
      <c r="W14" s="32">
        <v>44007</v>
      </c>
      <c r="X14" s="32">
        <v>44007</v>
      </c>
      <c r="Y14" s="32">
        <v>44007</v>
      </c>
      <c r="Z14" s="32">
        <v>44007</v>
      </c>
      <c r="AA14" s="35">
        <f t="shared" si="0"/>
        <v>46201.25</v>
      </c>
    </row>
    <row r="15" spans="1:27" ht="18.75" customHeight="1">
      <c r="A15" s="71"/>
      <c r="B15" s="31" t="s">
        <v>35</v>
      </c>
      <c r="C15" s="32">
        <v>571878</v>
      </c>
      <c r="D15" s="32">
        <v>571878</v>
      </c>
      <c r="E15" s="32">
        <v>579320</v>
      </c>
      <c r="F15" s="32">
        <v>548819</v>
      </c>
      <c r="G15" s="32">
        <v>548819</v>
      </c>
      <c r="H15" s="32">
        <v>548819</v>
      </c>
      <c r="I15" s="32">
        <v>506982</v>
      </c>
      <c r="J15" s="32">
        <v>517006</v>
      </c>
      <c r="K15" s="32">
        <v>517006</v>
      </c>
      <c r="L15" s="32">
        <v>506061</v>
      </c>
      <c r="M15" s="32">
        <v>502822</v>
      </c>
      <c r="N15" s="32">
        <v>502812</v>
      </c>
      <c r="O15" s="32">
        <v>502812</v>
      </c>
      <c r="P15" s="32">
        <v>502812</v>
      </c>
      <c r="Q15" s="32">
        <v>795855</v>
      </c>
      <c r="R15" s="32">
        <v>841740</v>
      </c>
      <c r="S15" s="32">
        <v>798252</v>
      </c>
      <c r="T15" s="32">
        <v>817550</v>
      </c>
      <c r="U15" s="32">
        <v>805494</v>
      </c>
      <c r="V15" s="32">
        <v>919524</v>
      </c>
      <c r="W15" s="32">
        <v>899294</v>
      </c>
      <c r="X15" s="32">
        <v>891315</v>
      </c>
      <c r="Y15" s="32">
        <v>873186</v>
      </c>
      <c r="Z15" s="32">
        <v>871725</v>
      </c>
      <c r="AA15" s="35">
        <f t="shared" si="0"/>
        <v>664240.875</v>
      </c>
    </row>
    <row r="16" spans="1:27" ht="18.75" customHeight="1">
      <c r="A16" s="71"/>
      <c r="B16" s="31" t="s">
        <v>37</v>
      </c>
      <c r="C16" s="32">
        <v>1073632</v>
      </c>
      <c r="D16" s="32">
        <v>1073632</v>
      </c>
      <c r="E16" s="32">
        <v>1175622</v>
      </c>
      <c r="F16" s="32">
        <v>1286113</v>
      </c>
      <c r="G16" s="32">
        <v>1286113</v>
      </c>
      <c r="H16" s="32">
        <v>1283427</v>
      </c>
      <c r="I16" s="32">
        <v>1286462</v>
      </c>
      <c r="J16" s="32">
        <v>1434577</v>
      </c>
      <c r="K16" s="32">
        <v>1434577</v>
      </c>
      <c r="L16" s="32">
        <v>1362043</v>
      </c>
      <c r="M16" s="32">
        <v>1302879</v>
      </c>
      <c r="N16" s="32">
        <v>1482038</v>
      </c>
      <c r="O16" s="32">
        <v>1482038</v>
      </c>
      <c r="P16" s="32">
        <v>1482038</v>
      </c>
      <c r="Q16" s="32">
        <v>1482038</v>
      </c>
      <c r="R16" s="32">
        <v>1324482</v>
      </c>
      <c r="S16" s="32">
        <v>1297604</v>
      </c>
      <c r="T16" s="32">
        <v>1297604</v>
      </c>
      <c r="U16" s="32">
        <v>1297604</v>
      </c>
      <c r="V16" s="32">
        <v>1297604</v>
      </c>
      <c r="W16" s="32">
        <v>1450692</v>
      </c>
      <c r="X16" s="32">
        <v>1450692</v>
      </c>
      <c r="Y16" s="32">
        <v>1343623</v>
      </c>
      <c r="Z16" s="32">
        <v>1318692</v>
      </c>
      <c r="AA16" s="35">
        <f t="shared" si="0"/>
        <v>1333576.0833333333</v>
      </c>
    </row>
    <row r="17" spans="1:27" ht="18.75" customHeight="1">
      <c r="A17" s="71"/>
      <c r="B17" s="47" t="s">
        <v>36</v>
      </c>
      <c r="C17" s="32">
        <v>2242712</v>
      </c>
      <c r="D17" s="32">
        <v>2242712</v>
      </c>
      <c r="E17" s="32">
        <v>5089725</v>
      </c>
      <c r="F17" s="32">
        <v>5089725</v>
      </c>
      <c r="G17" s="32">
        <v>5089725</v>
      </c>
      <c r="H17" s="32">
        <v>5089725</v>
      </c>
      <c r="I17" s="32">
        <v>5089725</v>
      </c>
      <c r="J17" s="32">
        <v>4586613</v>
      </c>
      <c r="K17" s="32">
        <v>4296746</v>
      </c>
      <c r="L17" s="32">
        <v>4048939</v>
      </c>
      <c r="M17" s="32">
        <v>4041273</v>
      </c>
      <c r="N17" s="32">
        <v>3996000</v>
      </c>
      <c r="O17" s="32">
        <v>3996000</v>
      </c>
      <c r="P17" s="32">
        <v>3879338</v>
      </c>
      <c r="Q17" s="32">
        <v>3879338</v>
      </c>
      <c r="R17" s="32">
        <v>3579993</v>
      </c>
      <c r="S17" s="32">
        <v>3579993</v>
      </c>
      <c r="T17" s="32">
        <v>3579993</v>
      </c>
      <c r="U17" s="32">
        <v>3579993</v>
      </c>
      <c r="V17" s="32">
        <v>2894353</v>
      </c>
      <c r="W17" s="32">
        <v>3484050</v>
      </c>
      <c r="X17" s="32">
        <v>3798897</v>
      </c>
      <c r="Y17" s="32">
        <v>3555053</v>
      </c>
      <c r="Z17" s="32">
        <v>3555053</v>
      </c>
      <c r="AA17" s="35">
        <f t="shared" si="0"/>
        <v>3927736.4166666665</v>
      </c>
    </row>
    <row r="18" spans="1:27" ht="18.75" customHeight="1">
      <c r="A18" s="71"/>
      <c r="B18" s="31" t="s">
        <v>10</v>
      </c>
      <c r="C18" s="32">
        <v>547038</v>
      </c>
      <c r="D18" s="32">
        <v>551368</v>
      </c>
      <c r="E18" s="32">
        <v>551368</v>
      </c>
      <c r="F18" s="32">
        <v>551368</v>
      </c>
      <c r="G18" s="32">
        <v>551368</v>
      </c>
      <c r="H18" s="32">
        <v>551368</v>
      </c>
      <c r="I18" s="32">
        <v>560850</v>
      </c>
      <c r="J18" s="32">
        <v>560850</v>
      </c>
      <c r="K18" s="32">
        <v>560850</v>
      </c>
      <c r="L18" s="32">
        <v>546221</v>
      </c>
      <c r="M18" s="32">
        <v>546221</v>
      </c>
      <c r="N18" s="32">
        <v>546221</v>
      </c>
      <c r="O18" s="32">
        <v>546221</v>
      </c>
      <c r="P18" s="32">
        <v>546221</v>
      </c>
      <c r="Q18" s="32">
        <v>546221</v>
      </c>
      <c r="R18" s="32">
        <v>545163</v>
      </c>
      <c r="S18" s="32">
        <v>548482</v>
      </c>
      <c r="T18" s="32">
        <v>548482</v>
      </c>
      <c r="U18" s="32">
        <v>548482</v>
      </c>
      <c r="V18" s="32">
        <v>619286</v>
      </c>
      <c r="W18" s="32">
        <v>619286</v>
      </c>
      <c r="X18" s="32">
        <v>619286</v>
      </c>
      <c r="Y18" s="32">
        <v>619286</v>
      </c>
      <c r="Z18" s="32">
        <v>619286</v>
      </c>
      <c r="AA18" s="35">
        <f t="shared" si="0"/>
        <v>564616.375</v>
      </c>
    </row>
    <row r="19" spans="1:27" ht="18.75" customHeight="1">
      <c r="A19" s="71"/>
      <c r="B19" s="31" t="s">
        <v>11</v>
      </c>
      <c r="C19" s="32">
        <v>21868</v>
      </c>
      <c r="D19" s="32">
        <v>28041</v>
      </c>
      <c r="E19" s="32">
        <v>28041</v>
      </c>
      <c r="F19" s="32">
        <v>28041</v>
      </c>
      <c r="G19" s="32">
        <v>28041</v>
      </c>
      <c r="H19" s="32">
        <v>28041</v>
      </c>
      <c r="I19" s="32">
        <v>62851</v>
      </c>
      <c r="J19" s="32">
        <v>62851</v>
      </c>
      <c r="K19" s="32">
        <v>62851</v>
      </c>
      <c r="L19" s="32">
        <v>62159</v>
      </c>
      <c r="M19" s="32">
        <v>62159</v>
      </c>
      <c r="N19" s="32">
        <v>62159</v>
      </c>
      <c r="O19" s="32">
        <v>62159</v>
      </c>
      <c r="P19" s="32">
        <v>62159</v>
      </c>
      <c r="Q19" s="32">
        <v>62159</v>
      </c>
      <c r="R19" s="32">
        <v>67647</v>
      </c>
      <c r="S19" s="32">
        <v>64922</v>
      </c>
      <c r="T19" s="32">
        <v>64922</v>
      </c>
      <c r="U19" s="32">
        <v>64922</v>
      </c>
      <c r="V19" s="32">
        <v>77065</v>
      </c>
      <c r="W19" s="32">
        <v>77065</v>
      </c>
      <c r="X19" s="32">
        <v>77065</v>
      </c>
      <c r="Y19" s="32">
        <v>77065</v>
      </c>
      <c r="Z19" s="32">
        <v>77065</v>
      </c>
      <c r="AA19" s="35">
        <f t="shared" si="0"/>
        <v>57138.25</v>
      </c>
    </row>
    <row r="20" spans="1:27" ht="18.75" customHeight="1">
      <c r="A20" s="71"/>
      <c r="B20" s="31" t="s">
        <v>12</v>
      </c>
      <c r="C20" s="32">
        <v>1975798</v>
      </c>
      <c r="D20" s="32">
        <v>1991276</v>
      </c>
      <c r="E20" s="32">
        <v>2031749</v>
      </c>
      <c r="F20" s="32">
        <v>2162762</v>
      </c>
      <c r="G20" s="32">
        <v>2237510</v>
      </c>
      <c r="H20" s="32">
        <v>2264887</v>
      </c>
      <c r="I20" s="32">
        <v>2371324</v>
      </c>
      <c r="J20" s="32">
        <v>2400818</v>
      </c>
      <c r="K20" s="32">
        <v>2344296</v>
      </c>
      <c r="L20" s="32">
        <v>2503428</v>
      </c>
      <c r="M20" s="32">
        <v>2628837</v>
      </c>
      <c r="N20" s="32">
        <v>2727762</v>
      </c>
      <c r="O20" s="32">
        <v>2684335</v>
      </c>
      <c r="P20" s="32">
        <v>2513122</v>
      </c>
      <c r="Q20" s="32">
        <v>2429050</v>
      </c>
      <c r="R20" s="32">
        <v>2341860</v>
      </c>
      <c r="S20" s="32">
        <v>2051157</v>
      </c>
      <c r="T20" s="32">
        <v>2006429</v>
      </c>
      <c r="U20" s="32">
        <v>1787827</v>
      </c>
      <c r="V20" s="32">
        <v>1633948</v>
      </c>
      <c r="W20" s="32">
        <v>1619625</v>
      </c>
      <c r="X20" s="32">
        <v>1776583</v>
      </c>
      <c r="Y20" s="32">
        <v>1479264</v>
      </c>
      <c r="Z20" s="32">
        <v>1444332</v>
      </c>
      <c r="AA20" s="35">
        <f t="shared" si="0"/>
        <v>2141999.125</v>
      </c>
    </row>
    <row r="21" spans="1:27" ht="18.75" customHeight="1">
      <c r="A21" s="71"/>
      <c r="B21" s="45" t="s">
        <v>29</v>
      </c>
      <c r="C21" s="44">
        <v>1297376</v>
      </c>
      <c r="D21" s="44">
        <v>1216307</v>
      </c>
      <c r="E21" s="44">
        <v>1078388</v>
      </c>
      <c r="F21" s="44">
        <v>827192</v>
      </c>
      <c r="G21" s="44">
        <v>738307</v>
      </c>
      <c r="H21" s="44">
        <v>919469</v>
      </c>
      <c r="I21" s="44">
        <v>702165</v>
      </c>
      <c r="J21" s="44">
        <v>649338</v>
      </c>
      <c r="K21" s="44">
        <v>445672</v>
      </c>
      <c r="L21" s="44">
        <v>581073</v>
      </c>
      <c r="M21" s="44">
        <v>495126</v>
      </c>
      <c r="N21" s="44">
        <v>330404</v>
      </c>
      <c r="O21" s="44">
        <v>296897</v>
      </c>
      <c r="P21" s="44">
        <v>329154</v>
      </c>
      <c r="Q21" s="44">
        <v>73584</v>
      </c>
      <c r="R21" s="44">
        <v>34380</v>
      </c>
      <c r="S21" s="44">
        <v>43477</v>
      </c>
      <c r="T21" s="44">
        <v>115590</v>
      </c>
      <c r="U21" s="44">
        <v>117400</v>
      </c>
      <c r="V21" s="44">
        <v>409707</v>
      </c>
      <c r="W21" s="44">
        <v>356726</v>
      </c>
      <c r="X21" s="44">
        <v>80801</v>
      </c>
      <c r="Y21" s="44">
        <v>214263</v>
      </c>
      <c r="Z21" s="44">
        <v>651468</v>
      </c>
      <c r="AA21" s="35">
        <f t="shared" si="0"/>
        <v>500177.66666666669</v>
      </c>
    </row>
    <row r="22" spans="1:27" ht="18.75" customHeight="1">
      <c r="A22" s="71"/>
      <c r="B22" s="45" t="s">
        <v>32</v>
      </c>
      <c r="C22" s="44">
        <v>178132</v>
      </c>
      <c r="D22" s="44">
        <v>190343</v>
      </c>
      <c r="E22" s="44">
        <v>205069</v>
      </c>
      <c r="F22" s="44">
        <v>179443</v>
      </c>
      <c r="G22" s="44">
        <v>213300</v>
      </c>
      <c r="H22" s="44">
        <v>212561</v>
      </c>
      <c r="I22" s="44">
        <v>206729</v>
      </c>
      <c r="J22" s="44">
        <v>219406</v>
      </c>
      <c r="K22" s="44">
        <v>219406</v>
      </c>
      <c r="L22" s="44">
        <v>219406</v>
      </c>
      <c r="M22" s="44">
        <v>221520</v>
      </c>
      <c r="N22" s="44">
        <v>209378</v>
      </c>
      <c r="O22" s="44">
        <v>209395</v>
      </c>
      <c r="P22" s="44">
        <v>209332</v>
      </c>
      <c r="Q22" s="44">
        <v>434476</v>
      </c>
      <c r="R22" s="44">
        <v>447325</v>
      </c>
      <c r="S22" s="44">
        <v>435108</v>
      </c>
      <c r="T22" s="44">
        <v>377965</v>
      </c>
      <c r="U22" s="44">
        <v>377965</v>
      </c>
      <c r="V22" s="44">
        <v>302716</v>
      </c>
      <c r="W22" s="44">
        <v>295488</v>
      </c>
      <c r="X22" s="44">
        <v>304690</v>
      </c>
      <c r="Y22" s="44">
        <v>304690</v>
      </c>
      <c r="Z22" s="44">
        <v>297576</v>
      </c>
      <c r="AA22" s="35">
        <f t="shared" si="0"/>
        <v>269642.45833333331</v>
      </c>
    </row>
    <row r="23" spans="1:27" ht="18.75" customHeight="1">
      <c r="A23" s="72"/>
      <c r="B23" s="31" t="s">
        <v>14</v>
      </c>
      <c r="C23" s="49">
        <v>25007</v>
      </c>
      <c r="D23" s="49">
        <v>25001</v>
      </c>
      <c r="E23" s="32">
        <v>25001</v>
      </c>
      <c r="F23" s="32">
        <v>25001</v>
      </c>
      <c r="G23" s="32">
        <v>25001</v>
      </c>
      <c r="H23" s="32">
        <v>26514</v>
      </c>
      <c r="I23" s="32">
        <v>26514</v>
      </c>
      <c r="J23" s="32">
        <v>26514</v>
      </c>
      <c r="K23" s="32">
        <v>26514</v>
      </c>
      <c r="L23" s="32">
        <v>31230</v>
      </c>
      <c r="M23" s="32">
        <v>31230</v>
      </c>
      <c r="N23" s="32">
        <v>31230</v>
      </c>
      <c r="O23" s="32">
        <v>31230</v>
      </c>
      <c r="P23" s="32">
        <v>31230</v>
      </c>
      <c r="Q23" s="32">
        <v>31230</v>
      </c>
      <c r="R23" s="32">
        <v>36407</v>
      </c>
      <c r="S23" s="32">
        <v>40021</v>
      </c>
      <c r="T23" s="32">
        <v>40021</v>
      </c>
      <c r="U23" s="32">
        <v>40021</v>
      </c>
      <c r="V23" s="32">
        <v>45912</v>
      </c>
      <c r="W23" s="32">
        <v>45912</v>
      </c>
      <c r="X23" s="32">
        <v>45912</v>
      </c>
      <c r="Y23" s="32">
        <v>46328</v>
      </c>
      <c r="Z23" s="32">
        <v>46328</v>
      </c>
      <c r="AA23" s="35">
        <f t="shared" si="0"/>
        <v>33554.541666666664</v>
      </c>
    </row>
    <row r="24" spans="1:27" ht="18.75" customHeight="1">
      <c r="A24" s="73" t="s">
        <v>13</v>
      </c>
      <c r="B24" s="31" t="s">
        <v>15</v>
      </c>
      <c r="C24" s="32">
        <v>2661.5</v>
      </c>
      <c r="D24" s="32">
        <v>5313.5</v>
      </c>
      <c r="E24" s="32">
        <v>5313.5</v>
      </c>
      <c r="F24" s="32">
        <v>5313.5</v>
      </c>
      <c r="G24" s="32">
        <v>5313.5</v>
      </c>
      <c r="H24" s="32">
        <v>1193.5</v>
      </c>
      <c r="I24" s="32">
        <v>1793</v>
      </c>
      <c r="J24" s="32">
        <v>1793</v>
      </c>
      <c r="K24" s="32">
        <v>1793</v>
      </c>
      <c r="L24" s="32">
        <v>2435.5</v>
      </c>
      <c r="M24" s="32">
        <v>2435.5</v>
      </c>
      <c r="N24" s="32">
        <v>3088.5</v>
      </c>
      <c r="O24" s="32">
        <v>3088.5</v>
      </c>
      <c r="P24" s="32">
        <v>3088.5</v>
      </c>
      <c r="Q24" s="32">
        <v>3088.5</v>
      </c>
      <c r="R24" s="32">
        <v>6433.5</v>
      </c>
      <c r="S24" s="32">
        <v>6433.5</v>
      </c>
      <c r="T24" s="32">
        <v>6433.5</v>
      </c>
      <c r="U24" s="32">
        <v>0</v>
      </c>
      <c r="V24" s="32">
        <v>0</v>
      </c>
      <c r="W24" s="32">
        <v>0</v>
      </c>
      <c r="X24" s="32">
        <v>571.5</v>
      </c>
      <c r="Y24" s="32">
        <v>1197</v>
      </c>
      <c r="Z24" s="32">
        <v>1197</v>
      </c>
      <c r="AA24" s="35">
        <f t="shared" si="0"/>
        <v>2915.7916666666665</v>
      </c>
    </row>
    <row r="25" spans="1:27" ht="18.75" customHeight="1">
      <c r="A25" s="74"/>
      <c r="B25" s="31" t="s">
        <v>16</v>
      </c>
      <c r="C25" s="32">
        <v>21783</v>
      </c>
      <c r="D25" s="32">
        <v>21781</v>
      </c>
      <c r="E25" s="32">
        <v>21781</v>
      </c>
      <c r="F25" s="32">
        <v>21781</v>
      </c>
      <c r="G25" s="32">
        <v>21781</v>
      </c>
      <c r="H25" s="32">
        <v>21781</v>
      </c>
      <c r="I25" s="32">
        <v>21781</v>
      </c>
      <c r="J25" s="32">
        <v>21781</v>
      </c>
      <c r="K25" s="32">
        <v>21781</v>
      </c>
      <c r="L25" s="32">
        <v>21781</v>
      </c>
      <c r="M25" s="32">
        <v>21781</v>
      </c>
      <c r="N25" s="32">
        <v>21781</v>
      </c>
      <c r="O25" s="32">
        <v>21781</v>
      </c>
      <c r="P25" s="32">
        <v>21781</v>
      </c>
      <c r="Q25" s="32">
        <v>21781</v>
      </c>
      <c r="R25" s="32">
        <v>21781</v>
      </c>
      <c r="S25" s="32">
        <v>21781</v>
      </c>
      <c r="T25" s="32">
        <v>21781</v>
      </c>
      <c r="U25" s="32">
        <v>21781</v>
      </c>
      <c r="V25" s="32">
        <v>21781</v>
      </c>
      <c r="W25" s="32">
        <v>21781</v>
      </c>
      <c r="X25" s="32">
        <v>21781</v>
      </c>
      <c r="Y25" s="32">
        <v>21781</v>
      </c>
      <c r="Z25" s="32">
        <v>21781</v>
      </c>
      <c r="AA25" s="35">
        <f t="shared" si="0"/>
        <v>21781.083333333332</v>
      </c>
    </row>
    <row r="27" spans="1:27">
      <c r="A27" s="28"/>
    </row>
    <row r="28" spans="1:27">
      <c r="A28" s="33"/>
    </row>
  </sheetData>
  <mergeCells count="4">
    <mergeCell ref="A3:B3"/>
    <mergeCell ref="A5:A11"/>
    <mergeCell ref="A12:A23"/>
    <mergeCell ref="A24:A25"/>
  </mergeCell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261F-49D8-4385-B2EE-03C8EF63E39B}">
  <sheetPr>
    <tabColor rgb="FFFAB6E3"/>
  </sheetPr>
  <dimension ref="A1:AA66"/>
  <sheetViews>
    <sheetView topLeftCell="A43" workbookViewId="0">
      <selection activeCell="I65" sqref="I65"/>
    </sheetView>
  </sheetViews>
  <sheetFormatPr defaultColWidth="9" defaultRowHeight="15"/>
  <cols>
    <col min="1" max="1" width="14.28515625" style="2" customWidth="1"/>
    <col min="2" max="4" width="13.85546875" style="2" customWidth="1"/>
    <col min="5" max="5" width="15.42578125" style="2" customWidth="1"/>
    <col min="6" max="6" width="14.85546875" style="2" customWidth="1"/>
    <col min="7" max="8" width="12.42578125" style="1" customWidth="1"/>
    <col min="9" max="9" width="11.42578125" style="1" customWidth="1"/>
    <col min="10" max="10" width="9.7109375" style="1" bestFit="1" customWidth="1"/>
    <col min="11" max="19" width="9" style="1"/>
    <col min="20" max="257" width="9" style="2"/>
    <col min="258" max="261" width="15.42578125" style="2" customWidth="1"/>
    <col min="262" max="262" width="14" style="2" customWidth="1"/>
    <col min="263" max="263" width="12.42578125" style="2" customWidth="1"/>
    <col min="264" max="264" width="12.28515625" style="2" customWidth="1"/>
    <col min="265" max="265" width="12.140625" style="2" customWidth="1"/>
    <col min="266" max="513" width="9" style="2"/>
    <col min="514" max="517" width="15.42578125" style="2" customWidth="1"/>
    <col min="518" max="518" width="14" style="2" customWidth="1"/>
    <col min="519" max="519" width="12.42578125" style="2" customWidth="1"/>
    <col min="520" max="520" width="12.28515625" style="2" customWidth="1"/>
    <col min="521" max="521" width="12.140625" style="2" customWidth="1"/>
    <col min="522" max="769" width="9" style="2"/>
    <col min="770" max="773" width="15.42578125" style="2" customWidth="1"/>
    <col min="774" max="774" width="14" style="2" customWidth="1"/>
    <col min="775" max="775" width="12.42578125" style="2" customWidth="1"/>
    <col min="776" max="776" width="12.28515625" style="2" customWidth="1"/>
    <col min="777" max="777" width="12.140625" style="2" customWidth="1"/>
    <col min="778" max="1025" width="9" style="2"/>
    <col min="1026" max="1029" width="15.42578125" style="2" customWidth="1"/>
    <col min="1030" max="1030" width="14" style="2" customWidth="1"/>
    <col min="1031" max="1031" width="12.42578125" style="2" customWidth="1"/>
    <col min="1032" max="1032" width="12.28515625" style="2" customWidth="1"/>
    <col min="1033" max="1033" width="12.140625" style="2" customWidth="1"/>
    <col min="1034" max="1281" width="9" style="2"/>
    <col min="1282" max="1285" width="15.42578125" style="2" customWidth="1"/>
    <col min="1286" max="1286" width="14" style="2" customWidth="1"/>
    <col min="1287" max="1287" width="12.42578125" style="2" customWidth="1"/>
    <col min="1288" max="1288" width="12.28515625" style="2" customWidth="1"/>
    <col min="1289" max="1289" width="12.140625" style="2" customWidth="1"/>
    <col min="1290" max="1537" width="9" style="2"/>
    <col min="1538" max="1541" width="15.42578125" style="2" customWidth="1"/>
    <col min="1542" max="1542" width="14" style="2" customWidth="1"/>
    <col min="1543" max="1543" width="12.42578125" style="2" customWidth="1"/>
    <col min="1544" max="1544" width="12.28515625" style="2" customWidth="1"/>
    <col min="1545" max="1545" width="12.140625" style="2" customWidth="1"/>
    <col min="1546" max="1793" width="9" style="2"/>
    <col min="1794" max="1797" width="15.42578125" style="2" customWidth="1"/>
    <col min="1798" max="1798" width="14" style="2" customWidth="1"/>
    <col min="1799" max="1799" width="12.42578125" style="2" customWidth="1"/>
    <col min="1800" max="1800" width="12.28515625" style="2" customWidth="1"/>
    <col min="1801" max="1801" width="12.140625" style="2" customWidth="1"/>
    <col min="1802" max="2049" width="9" style="2"/>
    <col min="2050" max="2053" width="15.42578125" style="2" customWidth="1"/>
    <col min="2054" max="2054" width="14" style="2" customWidth="1"/>
    <col min="2055" max="2055" width="12.42578125" style="2" customWidth="1"/>
    <col min="2056" max="2056" width="12.28515625" style="2" customWidth="1"/>
    <col min="2057" max="2057" width="12.140625" style="2" customWidth="1"/>
    <col min="2058" max="2305" width="9" style="2"/>
    <col min="2306" max="2309" width="15.42578125" style="2" customWidth="1"/>
    <col min="2310" max="2310" width="14" style="2" customWidth="1"/>
    <col min="2311" max="2311" width="12.42578125" style="2" customWidth="1"/>
    <col min="2312" max="2312" width="12.28515625" style="2" customWidth="1"/>
    <col min="2313" max="2313" width="12.140625" style="2" customWidth="1"/>
    <col min="2314" max="2561" width="9" style="2"/>
    <col min="2562" max="2565" width="15.42578125" style="2" customWidth="1"/>
    <col min="2566" max="2566" width="14" style="2" customWidth="1"/>
    <col min="2567" max="2567" width="12.42578125" style="2" customWidth="1"/>
    <col min="2568" max="2568" width="12.28515625" style="2" customWidth="1"/>
    <col min="2569" max="2569" width="12.140625" style="2" customWidth="1"/>
    <col min="2570" max="2817" width="9" style="2"/>
    <col min="2818" max="2821" width="15.42578125" style="2" customWidth="1"/>
    <col min="2822" max="2822" width="14" style="2" customWidth="1"/>
    <col min="2823" max="2823" width="12.42578125" style="2" customWidth="1"/>
    <col min="2824" max="2824" width="12.28515625" style="2" customWidth="1"/>
    <col min="2825" max="2825" width="12.140625" style="2" customWidth="1"/>
    <col min="2826" max="3073" width="9" style="2"/>
    <col min="3074" max="3077" width="15.42578125" style="2" customWidth="1"/>
    <col min="3078" max="3078" width="14" style="2" customWidth="1"/>
    <col min="3079" max="3079" width="12.42578125" style="2" customWidth="1"/>
    <col min="3080" max="3080" width="12.28515625" style="2" customWidth="1"/>
    <col min="3081" max="3081" width="12.140625" style="2" customWidth="1"/>
    <col min="3082" max="3329" width="9" style="2"/>
    <col min="3330" max="3333" width="15.42578125" style="2" customWidth="1"/>
    <col min="3334" max="3334" width="14" style="2" customWidth="1"/>
    <col min="3335" max="3335" width="12.42578125" style="2" customWidth="1"/>
    <col min="3336" max="3336" width="12.28515625" style="2" customWidth="1"/>
    <col min="3337" max="3337" width="12.140625" style="2" customWidth="1"/>
    <col min="3338" max="3585" width="9" style="2"/>
    <col min="3586" max="3589" width="15.42578125" style="2" customWidth="1"/>
    <col min="3590" max="3590" width="14" style="2" customWidth="1"/>
    <col min="3591" max="3591" width="12.42578125" style="2" customWidth="1"/>
    <col min="3592" max="3592" width="12.28515625" style="2" customWidth="1"/>
    <col min="3593" max="3593" width="12.140625" style="2" customWidth="1"/>
    <col min="3594" max="3841" width="9" style="2"/>
    <col min="3842" max="3845" width="15.42578125" style="2" customWidth="1"/>
    <col min="3846" max="3846" width="14" style="2" customWidth="1"/>
    <col min="3847" max="3847" width="12.42578125" style="2" customWidth="1"/>
    <col min="3848" max="3848" width="12.28515625" style="2" customWidth="1"/>
    <col min="3849" max="3849" width="12.140625" style="2" customWidth="1"/>
    <col min="3850" max="4097" width="9" style="2"/>
    <col min="4098" max="4101" width="15.42578125" style="2" customWidth="1"/>
    <col min="4102" max="4102" width="14" style="2" customWidth="1"/>
    <col min="4103" max="4103" width="12.42578125" style="2" customWidth="1"/>
    <col min="4104" max="4104" width="12.28515625" style="2" customWidth="1"/>
    <col min="4105" max="4105" width="12.140625" style="2" customWidth="1"/>
    <col min="4106" max="4353" width="9" style="2"/>
    <col min="4354" max="4357" width="15.42578125" style="2" customWidth="1"/>
    <col min="4358" max="4358" width="14" style="2" customWidth="1"/>
    <col min="4359" max="4359" width="12.42578125" style="2" customWidth="1"/>
    <col min="4360" max="4360" width="12.28515625" style="2" customWidth="1"/>
    <col min="4361" max="4361" width="12.140625" style="2" customWidth="1"/>
    <col min="4362" max="4609" width="9" style="2"/>
    <col min="4610" max="4613" width="15.42578125" style="2" customWidth="1"/>
    <col min="4614" max="4614" width="14" style="2" customWidth="1"/>
    <col min="4615" max="4615" width="12.42578125" style="2" customWidth="1"/>
    <col min="4616" max="4616" width="12.28515625" style="2" customWidth="1"/>
    <col min="4617" max="4617" width="12.140625" style="2" customWidth="1"/>
    <col min="4618" max="4865" width="9" style="2"/>
    <col min="4866" max="4869" width="15.42578125" style="2" customWidth="1"/>
    <col min="4870" max="4870" width="14" style="2" customWidth="1"/>
    <col min="4871" max="4871" width="12.42578125" style="2" customWidth="1"/>
    <col min="4872" max="4872" width="12.28515625" style="2" customWidth="1"/>
    <col min="4873" max="4873" width="12.140625" style="2" customWidth="1"/>
    <col min="4874" max="5121" width="9" style="2"/>
    <col min="5122" max="5125" width="15.42578125" style="2" customWidth="1"/>
    <col min="5126" max="5126" width="14" style="2" customWidth="1"/>
    <col min="5127" max="5127" width="12.42578125" style="2" customWidth="1"/>
    <col min="5128" max="5128" width="12.28515625" style="2" customWidth="1"/>
    <col min="5129" max="5129" width="12.140625" style="2" customWidth="1"/>
    <col min="5130" max="5377" width="9" style="2"/>
    <col min="5378" max="5381" width="15.42578125" style="2" customWidth="1"/>
    <col min="5382" max="5382" width="14" style="2" customWidth="1"/>
    <col min="5383" max="5383" width="12.42578125" style="2" customWidth="1"/>
    <col min="5384" max="5384" width="12.28515625" style="2" customWidth="1"/>
    <col min="5385" max="5385" width="12.140625" style="2" customWidth="1"/>
    <col min="5386" max="5633" width="9" style="2"/>
    <col min="5634" max="5637" width="15.42578125" style="2" customWidth="1"/>
    <col min="5638" max="5638" width="14" style="2" customWidth="1"/>
    <col min="5639" max="5639" width="12.42578125" style="2" customWidth="1"/>
    <col min="5640" max="5640" width="12.28515625" style="2" customWidth="1"/>
    <col min="5641" max="5641" width="12.140625" style="2" customWidth="1"/>
    <col min="5642" max="5889" width="9" style="2"/>
    <col min="5890" max="5893" width="15.42578125" style="2" customWidth="1"/>
    <col min="5894" max="5894" width="14" style="2" customWidth="1"/>
    <col min="5895" max="5895" width="12.42578125" style="2" customWidth="1"/>
    <col min="5896" max="5896" width="12.28515625" style="2" customWidth="1"/>
    <col min="5897" max="5897" width="12.140625" style="2" customWidth="1"/>
    <col min="5898" max="6145" width="9" style="2"/>
    <col min="6146" max="6149" width="15.42578125" style="2" customWidth="1"/>
    <col min="6150" max="6150" width="14" style="2" customWidth="1"/>
    <col min="6151" max="6151" width="12.42578125" style="2" customWidth="1"/>
    <col min="6152" max="6152" width="12.28515625" style="2" customWidth="1"/>
    <col min="6153" max="6153" width="12.140625" style="2" customWidth="1"/>
    <col min="6154" max="6401" width="9" style="2"/>
    <col min="6402" max="6405" width="15.42578125" style="2" customWidth="1"/>
    <col min="6406" max="6406" width="14" style="2" customWidth="1"/>
    <col min="6407" max="6407" width="12.42578125" style="2" customWidth="1"/>
    <col min="6408" max="6408" width="12.28515625" style="2" customWidth="1"/>
    <col min="6409" max="6409" width="12.140625" style="2" customWidth="1"/>
    <col min="6410" max="6657" width="9" style="2"/>
    <col min="6658" max="6661" width="15.42578125" style="2" customWidth="1"/>
    <col min="6662" max="6662" width="14" style="2" customWidth="1"/>
    <col min="6663" max="6663" width="12.42578125" style="2" customWidth="1"/>
    <col min="6664" max="6664" width="12.28515625" style="2" customWidth="1"/>
    <col min="6665" max="6665" width="12.140625" style="2" customWidth="1"/>
    <col min="6666" max="6913" width="9" style="2"/>
    <col min="6914" max="6917" width="15.42578125" style="2" customWidth="1"/>
    <col min="6918" max="6918" width="14" style="2" customWidth="1"/>
    <col min="6919" max="6919" width="12.42578125" style="2" customWidth="1"/>
    <col min="6920" max="6920" width="12.28515625" style="2" customWidth="1"/>
    <col min="6921" max="6921" width="12.140625" style="2" customWidth="1"/>
    <col min="6922" max="7169" width="9" style="2"/>
    <col min="7170" max="7173" width="15.42578125" style="2" customWidth="1"/>
    <col min="7174" max="7174" width="14" style="2" customWidth="1"/>
    <col min="7175" max="7175" width="12.42578125" style="2" customWidth="1"/>
    <col min="7176" max="7176" width="12.28515625" style="2" customWidth="1"/>
    <col min="7177" max="7177" width="12.140625" style="2" customWidth="1"/>
    <col min="7178" max="7425" width="9" style="2"/>
    <col min="7426" max="7429" width="15.42578125" style="2" customWidth="1"/>
    <col min="7430" max="7430" width="14" style="2" customWidth="1"/>
    <col min="7431" max="7431" width="12.42578125" style="2" customWidth="1"/>
    <col min="7432" max="7432" width="12.28515625" style="2" customWidth="1"/>
    <col min="7433" max="7433" width="12.140625" style="2" customWidth="1"/>
    <col min="7434" max="7681" width="9" style="2"/>
    <col min="7682" max="7685" width="15.42578125" style="2" customWidth="1"/>
    <col min="7686" max="7686" width="14" style="2" customWidth="1"/>
    <col min="7687" max="7687" width="12.42578125" style="2" customWidth="1"/>
    <col min="7688" max="7688" width="12.28515625" style="2" customWidth="1"/>
    <col min="7689" max="7689" width="12.140625" style="2" customWidth="1"/>
    <col min="7690" max="7937" width="9" style="2"/>
    <col min="7938" max="7941" width="15.42578125" style="2" customWidth="1"/>
    <col min="7942" max="7942" width="14" style="2" customWidth="1"/>
    <col min="7943" max="7943" width="12.42578125" style="2" customWidth="1"/>
    <col min="7944" max="7944" width="12.28515625" style="2" customWidth="1"/>
    <col min="7945" max="7945" width="12.140625" style="2" customWidth="1"/>
    <col min="7946" max="8193" width="9" style="2"/>
    <col min="8194" max="8197" width="15.42578125" style="2" customWidth="1"/>
    <col min="8198" max="8198" width="14" style="2" customWidth="1"/>
    <col min="8199" max="8199" width="12.42578125" style="2" customWidth="1"/>
    <col min="8200" max="8200" width="12.28515625" style="2" customWidth="1"/>
    <col min="8201" max="8201" width="12.140625" style="2" customWidth="1"/>
    <col min="8202" max="8449" width="9" style="2"/>
    <col min="8450" max="8453" width="15.42578125" style="2" customWidth="1"/>
    <col min="8454" max="8454" width="14" style="2" customWidth="1"/>
    <col min="8455" max="8455" width="12.42578125" style="2" customWidth="1"/>
    <col min="8456" max="8456" width="12.28515625" style="2" customWidth="1"/>
    <col min="8457" max="8457" width="12.140625" style="2" customWidth="1"/>
    <col min="8458" max="8705" width="9" style="2"/>
    <col min="8706" max="8709" width="15.42578125" style="2" customWidth="1"/>
    <col min="8710" max="8710" width="14" style="2" customWidth="1"/>
    <col min="8711" max="8711" width="12.42578125" style="2" customWidth="1"/>
    <col min="8712" max="8712" width="12.28515625" style="2" customWidth="1"/>
    <col min="8713" max="8713" width="12.140625" style="2" customWidth="1"/>
    <col min="8714" max="8961" width="9" style="2"/>
    <col min="8962" max="8965" width="15.42578125" style="2" customWidth="1"/>
    <col min="8966" max="8966" width="14" style="2" customWidth="1"/>
    <col min="8967" max="8967" width="12.42578125" style="2" customWidth="1"/>
    <col min="8968" max="8968" width="12.28515625" style="2" customWidth="1"/>
    <col min="8969" max="8969" width="12.140625" style="2" customWidth="1"/>
    <col min="8970" max="9217" width="9" style="2"/>
    <col min="9218" max="9221" width="15.42578125" style="2" customWidth="1"/>
    <col min="9222" max="9222" width="14" style="2" customWidth="1"/>
    <col min="9223" max="9223" width="12.42578125" style="2" customWidth="1"/>
    <col min="9224" max="9224" width="12.28515625" style="2" customWidth="1"/>
    <col min="9225" max="9225" width="12.140625" style="2" customWidth="1"/>
    <col min="9226" max="9473" width="9" style="2"/>
    <col min="9474" max="9477" width="15.42578125" style="2" customWidth="1"/>
    <col min="9478" max="9478" width="14" style="2" customWidth="1"/>
    <col min="9479" max="9479" width="12.42578125" style="2" customWidth="1"/>
    <col min="9480" max="9480" width="12.28515625" style="2" customWidth="1"/>
    <col min="9481" max="9481" width="12.140625" style="2" customWidth="1"/>
    <col min="9482" max="9729" width="9" style="2"/>
    <col min="9730" max="9733" width="15.42578125" style="2" customWidth="1"/>
    <col min="9734" max="9734" width="14" style="2" customWidth="1"/>
    <col min="9735" max="9735" width="12.42578125" style="2" customWidth="1"/>
    <col min="9736" max="9736" width="12.28515625" style="2" customWidth="1"/>
    <col min="9737" max="9737" width="12.140625" style="2" customWidth="1"/>
    <col min="9738" max="9985" width="9" style="2"/>
    <col min="9986" max="9989" width="15.42578125" style="2" customWidth="1"/>
    <col min="9990" max="9990" width="14" style="2" customWidth="1"/>
    <col min="9991" max="9991" width="12.42578125" style="2" customWidth="1"/>
    <col min="9992" max="9992" width="12.28515625" style="2" customWidth="1"/>
    <col min="9993" max="9993" width="12.140625" style="2" customWidth="1"/>
    <col min="9994" max="10241" width="9" style="2"/>
    <col min="10242" max="10245" width="15.42578125" style="2" customWidth="1"/>
    <col min="10246" max="10246" width="14" style="2" customWidth="1"/>
    <col min="10247" max="10247" width="12.42578125" style="2" customWidth="1"/>
    <col min="10248" max="10248" width="12.28515625" style="2" customWidth="1"/>
    <col min="10249" max="10249" width="12.140625" style="2" customWidth="1"/>
    <col min="10250" max="10497" width="9" style="2"/>
    <col min="10498" max="10501" width="15.42578125" style="2" customWidth="1"/>
    <col min="10502" max="10502" width="14" style="2" customWidth="1"/>
    <col min="10503" max="10503" width="12.42578125" style="2" customWidth="1"/>
    <col min="10504" max="10504" width="12.28515625" style="2" customWidth="1"/>
    <col min="10505" max="10505" width="12.140625" style="2" customWidth="1"/>
    <col min="10506" max="10753" width="9" style="2"/>
    <col min="10754" max="10757" width="15.42578125" style="2" customWidth="1"/>
    <col min="10758" max="10758" width="14" style="2" customWidth="1"/>
    <col min="10759" max="10759" width="12.42578125" style="2" customWidth="1"/>
    <col min="10760" max="10760" width="12.28515625" style="2" customWidth="1"/>
    <col min="10761" max="10761" width="12.140625" style="2" customWidth="1"/>
    <col min="10762" max="11009" width="9" style="2"/>
    <col min="11010" max="11013" width="15.42578125" style="2" customWidth="1"/>
    <col min="11014" max="11014" width="14" style="2" customWidth="1"/>
    <col min="11015" max="11015" width="12.42578125" style="2" customWidth="1"/>
    <col min="11016" max="11016" width="12.28515625" style="2" customWidth="1"/>
    <col min="11017" max="11017" width="12.140625" style="2" customWidth="1"/>
    <col min="11018" max="11265" width="9" style="2"/>
    <col min="11266" max="11269" width="15.42578125" style="2" customWidth="1"/>
    <col min="11270" max="11270" width="14" style="2" customWidth="1"/>
    <col min="11271" max="11271" width="12.42578125" style="2" customWidth="1"/>
    <col min="11272" max="11272" width="12.28515625" style="2" customWidth="1"/>
    <col min="11273" max="11273" width="12.140625" style="2" customWidth="1"/>
    <col min="11274" max="11521" width="9" style="2"/>
    <col min="11522" max="11525" width="15.42578125" style="2" customWidth="1"/>
    <col min="11526" max="11526" width="14" style="2" customWidth="1"/>
    <col min="11527" max="11527" width="12.42578125" style="2" customWidth="1"/>
    <col min="11528" max="11528" width="12.28515625" style="2" customWidth="1"/>
    <col min="11529" max="11529" width="12.140625" style="2" customWidth="1"/>
    <col min="11530" max="11777" width="9" style="2"/>
    <col min="11778" max="11781" width="15.42578125" style="2" customWidth="1"/>
    <col min="11782" max="11782" width="14" style="2" customWidth="1"/>
    <col min="11783" max="11783" width="12.42578125" style="2" customWidth="1"/>
    <col min="11784" max="11784" width="12.28515625" style="2" customWidth="1"/>
    <col min="11785" max="11785" width="12.140625" style="2" customWidth="1"/>
    <col min="11786" max="12033" width="9" style="2"/>
    <col min="12034" max="12037" width="15.42578125" style="2" customWidth="1"/>
    <col min="12038" max="12038" width="14" style="2" customWidth="1"/>
    <col min="12039" max="12039" width="12.42578125" style="2" customWidth="1"/>
    <col min="12040" max="12040" width="12.28515625" style="2" customWidth="1"/>
    <col min="12041" max="12041" width="12.140625" style="2" customWidth="1"/>
    <col min="12042" max="12289" width="9" style="2"/>
    <col min="12290" max="12293" width="15.42578125" style="2" customWidth="1"/>
    <col min="12294" max="12294" width="14" style="2" customWidth="1"/>
    <col min="12295" max="12295" width="12.42578125" style="2" customWidth="1"/>
    <col min="12296" max="12296" width="12.28515625" style="2" customWidth="1"/>
    <col min="12297" max="12297" width="12.140625" style="2" customWidth="1"/>
    <col min="12298" max="12545" width="9" style="2"/>
    <col min="12546" max="12549" width="15.42578125" style="2" customWidth="1"/>
    <col min="12550" max="12550" width="14" style="2" customWidth="1"/>
    <col min="12551" max="12551" width="12.42578125" style="2" customWidth="1"/>
    <col min="12552" max="12552" width="12.28515625" style="2" customWidth="1"/>
    <col min="12553" max="12553" width="12.140625" style="2" customWidth="1"/>
    <col min="12554" max="12801" width="9" style="2"/>
    <col min="12802" max="12805" width="15.42578125" style="2" customWidth="1"/>
    <col min="12806" max="12806" width="14" style="2" customWidth="1"/>
    <col min="12807" max="12807" width="12.42578125" style="2" customWidth="1"/>
    <col min="12808" max="12808" width="12.28515625" style="2" customWidth="1"/>
    <col min="12809" max="12809" width="12.140625" style="2" customWidth="1"/>
    <col min="12810" max="13057" width="9" style="2"/>
    <col min="13058" max="13061" width="15.42578125" style="2" customWidth="1"/>
    <col min="13062" max="13062" width="14" style="2" customWidth="1"/>
    <col min="13063" max="13063" width="12.42578125" style="2" customWidth="1"/>
    <col min="13064" max="13064" width="12.28515625" style="2" customWidth="1"/>
    <col min="13065" max="13065" width="12.140625" style="2" customWidth="1"/>
    <col min="13066" max="13313" width="9" style="2"/>
    <col min="13314" max="13317" width="15.42578125" style="2" customWidth="1"/>
    <col min="13318" max="13318" width="14" style="2" customWidth="1"/>
    <col min="13319" max="13319" width="12.42578125" style="2" customWidth="1"/>
    <col min="13320" max="13320" width="12.28515625" style="2" customWidth="1"/>
    <col min="13321" max="13321" width="12.140625" style="2" customWidth="1"/>
    <col min="13322" max="13569" width="9" style="2"/>
    <col min="13570" max="13573" width="15.42578125" style="2" customWidth="1"/>
    <col min="13574" max="13574" width="14" style="2" customWidth="1"/>
    <col min="13575" max="13575" width="12.42578125" style="2" customWidth="1"/>
    <col min="13576" max="13576" width="12.28515625" style="2" customWidth="1"/>
    <col min="13577" max="13577" width="12.140625" style="2" customWidth="1"/>
    <col min="13578" max="13825" width="9" style="2"/>
    <col min="13826" max="13829" width="15.42578125" style="2" customWidth="1"/>
    <col min="13830" max="13830" width="14" style="2" customWidth="1"/>
    <col min="13831" max="13831" width="12.42578125" style="2" customWidth="1"/>
    <col min="13832" max="13832" width="12.28515625" style="2" customWidth="1"/>
    <col min="13833" max="13833" width="12.140625" style="2" customWidth="1"/>
    <col min="13834" max="14081" width="9" style="2"/>
    <col min="14082" max="14085" width="15.42578125" style="2" customWidth="1"/>
    <col min="14086" max="14086" width="14" style="2" customWidth="1"/>
    <col min="14087" max="14087" width="12.42578125" style="2" customWidth="1"/>
    <col min="14088" max="14088" width="12.28515625" style="2" customWidth="1"/>
    <col min="14089" max="14089" width="12.140625" style="2" customWidth="1"/>
    <col min="14090" max="14337" width="9" style="2"/>
    <col min="14338" max="14341" width="15.42578125" style="2" customWidth="1"/>
    <col min="14342" max="14342" width="14" style="2" customWidth="1"/>
    <col min="14343" max="14343" width="12.42578125" style="2" customWidth="1"/>
    <col min="14344" max="14344" width="12.28515625" style="2" customWidth="1"/>
    <col min="14345" max="14345" width="12.140625" style="2" customWidth="1"/>
    <col min="14346" max="14593" width="9" style="2"/>
    <col min="14594" max="14597" width="15.42578125" style="2" customWidth="1"/>
    <col min="14598" max="14598" width="14" style="2" customWidth="1"/>
    <col min="14599" max="14599" width="12.42578125" style="2" customWidth="1"/>
    <col min="14600" max="14600" width="12.28515625" style="2" customWidth="1"/>
    <col min="14601" max="14601" width="12.140625" style="2" customWidth="1"/>
    <col min="14602" max="14849" width="9" style="2"/>
    <col min="14850" max="14853" width="15.42578125" style="2" customWidth="1"/>
    <col min="14854" max="14854" width="14" style="2" customWidth="1"/>
    <col min="14855" max="14855" width="12.42578125" style="2" customWidth="1"/>
    <col min="14856" max="14856" width="12.28515625" style="2" customWidth="1"/>
    <col min="14857" max="14857" width="12.140625" style="2" customWidth="1"/>
    <col min="14858" max="15105" width="9" style="2"/>
    <col min="15106" max="15109" width="15.42578125" style="2" customWidth="1"/>
    <col min="15110" max="15110" width="14" style="2" customWidth="1"/>
    <col min="15111" max="15111" width="12.42578125" style="2" customWidth="1"/>
    <col min="15112" max="15112" width="12.28515625" style="2" customWidth="1"/>
    <col min="15113" max="15113" width="12.140625" style="2" customWidth="1"/>
    <col min="15114" max="15361" width="9" style="2"/>
    <col min="15362" max="15365" width="15.42578125" style="2" customWidth="1"/>
    <col min="15366" max="15366" width="14" style="2" customWidth="1"/>
    <col min="15367" max="15367" width="12.42578125" style="2" customWidth="1"/>
    <col min="15368" max="15368" width="12.28515625" style="2" customWidth="1"/>
    <col min="15369" max="15369" width="12.140625" style="2" customWidth="1"/>
    <col min="15370" max="15617" width="9" style="2"/>
    <col min="15618" max="15621" width="15.42578125" style="2" customWidth="1"/>
    <col min="15622" max="15622" width="14" style="2" customWidth="1"/>
    <col min="15623" max="15623" width="12.42578125" style="2" customWidth="1"/>
    <col min="15624" max="15624" width="12.28515625" style="2" customWidth="1"/>
    <col min="15625" max="15625" width="12.140625" style="2" customWidth="1"/>
    <col min="15626" max="15873" width="9" style="2"/>
    <col min="15874" max="15877" width="15.42578125" style="2" customWidth="1"/>
    <col min="15878" max="15878" width="14" style="2" customWidth="1"/>
    <col min="15879" max="15879" width="12.42578125" style="2" customWidth="1"/>
    <col min="15880" max="15880" width="12.28515625" style="2" customWidth="1"/>
    <col min="15881" max="15881" width="12.140625" style="2" customWidth="1"/>
    <col min="15882" max="16129" width="9" style="2"/>
    <col min="16130" max="16133" width="15.42578125" style="2" customWidth="1"/>
    <col min="16134" max="16134" width="14" style="2" customWidth="1"/>
    <col min="16135" max="16135" width="12.42578125" style="2" customWidth="1"/>
    <col min="16136" max="16136" width="12.28515625" style="2" customWidth="1"/>
    <col min="16137" max="16137" width="12.140625" style="2" customWidth="1"/>
    <col min="16138" max="16384" width="9" style="2"/>
  </cols>
  <sheetData>
    <row r="1" spans="1:7">
      <c r="A1" s="3" t="s">
        <v>57</v>
      </c>
    </row>
    <row r="2" spans="1:7">
      <c r="A2" s="59" t="s">
        <v>17</v>
      </c>
      <c r="B2" s="61" t="s">
        <v>0</v>
      </c>
      <c r="C2" s="62"/>
      <c r="D2" s="59" t="s">
        <v>31</v>
      </c>
      <c r="E2" s="59" t="s">
        <v>18</v>
      </c>
      <c r="F2" s="59" t="s">
        <v>19</v>
      </c>
    </row>
    <row r="3" spans="1:7" s="2" customFormat="1">
      <c r="A3" s="60"/>
      <c r="B3" s="4" t="s">
        <v>28</v>
      </c>
      <c r="C3" s="4" t="s">
        <v>30</v>
      </c>
      <c r="D3" s="60"/>
      <c r="E3" s="60"/>
      <c r="F3" s="60"/>
    </row>
    <row r="4" spans="1:7">
      <c r="A4" s="55">
        <v>2</v>
      </c>
      <c r="B4" s="5">
        <f>JUNI!C5/1000</f>
        <v>4089.14</v>
      </c>
      <c r="C4" s="5">
        <f>(JUNI!C10+JUNI!C11)/1000</f>
        <v>642.20399999999995</v>
      </c>
      <c r="D4" s="5">
        <f t="shared" ref="D4:D26" si="0">B4+C4</f>
        <v>4731.3440000000001</v>
      </c>
      <c r="E4" s="6">
        <v>6760</v>
      </c>
      <c r="F4" s="7">
        <f>D4/E4</f>
        <v>0.69990295857988172</v>
      </c>
    </row>
    <row r="5" spans="1:7">
      <c r="A5" s="55">
        <v>3</v>
      </c>
      <c r="B5" s="5">
        <f>JUNI!D5/1000</f>
        <v>3507.585</v>
      </c>
      <c r="C5" s="5">
        <f>(JUNI!D10+JUNI!D11)/1000</f>
        <v>550.149</v>
      </c>
      <c r="D5" s="5">
        <f t="shared" si="0"/>
        <v>4057.7339999999999</v>
      </c>
      <c r="E5" s="6">
        <v>6760</v>
      </c>
      <c r="F5" s="7">
        <f t="shared" ref="F5:F26" si="1">D5/E5</f>
        <v>0.60025650887573967</v>
      </c>
      <c r="G5" s="43"/>
    </row>
    <row r="6" spans="1:7">
      <c r="A6" s="55">
        <v>4</v>
      </c>
      <c r="B6" s="5">
        <f>JUNI!E5/1000</f>
        <v>2713.96</v>
      </c>
      <c r="C6" s="5">
        <f>(JUNI!E10+JUNI!E11)/1000</f>
        <v>698.96199999999999</v>
      </c>
      <c r="D6" s="5">
        <f t="shared" si="0"/>
        <v>3412.922</v>
      </c>
      <c r="E6" s="6">
        <v>6760</v>
      </c>
      <c r="F6" s="7">
        <f t="shared" si="1"/>
        <v>0.50487011834319528</v>
      </c>
    </row>
    <row r="7" spans="1:7">
      <c r="A7" s="55">
        <v>5</v>
      </c>
      <c r="B7" s="5">
        <f>JUNI!F5/1000</f>
        <v>2484.27</v>
      </c>
      <c r="C7" s="5">
        <f>(JUNI!F10+JUNI!F11)/1000</f>
        <v>597.34699999999998</v>
      </c>
      <c r="D7" s="5">
        <f t="shared" si="0"/>
        <v>3081.6170000000002</v>
      </c>
      <c r="E7" s="6">
        <v>6760</v>
      </c>
      <c r="F7" s="7">
        <f t="shared" si="1"/>
        <v>0.45586050295857988</v>
      </c>
    </row>
    <row r="8" spans="1:7">
      <c r="A8" s="55">
        <v>6</v>
      </c>
      <c r="B8" s="5">
        <f>JUNI!G5/1000</f>
        <v>2409.145</v>
      </c>
      <c r="C8" s="5">
        <f>(JUNI!G10+JUNI!G11)/1000</f>
        <v>688.48699999999997</v>
      </c>
      <c r="D8" s="5">
        <f t="shared" si="0"/>
        <v>3097.6320000000001</v>
      </c>
      <c r="E8" s="6">
        <v>6760</v>
      </c>
      <c r="F8" s="7">
        <f t="shared" si="1"/>
        <v>0.45822958579881656</v>
      </c>
    </row>
    <row r="9" spans="1:7">
      <c r="A9" s="55">
        <v>8</v>
      </c>
      <c r="B9" s="5">
        <f>JUNI!H5/1000</f>
        <v>2645.7</v>
      </c>
      <c r="C9" s="5">
        <f>(JUNI!H10+JUNI!H11)/1000</f>
        <v>801.73199999999997</v>
      </c>
      <c r="D9" s="5">
        <f t="shared" si="0"/>
        <v>3447.4319999999998</v>
      </c>
      <c r="E9" s="6">
        <v>6760</v>
      </c>
      <c r="F9" s="7">
        <f t="shared" si="1"/>
        <v>0.50997514792899401</v>
      </c>
    </row>
    <row r="10" spans="1:7">
      <c r="A10" s="55">
        <v>9</v>
      </c>
      <c r="B10" s="5">
        <f>JUNI!I5/1000</f>
        <v>2712.37</v>
      </c>
      <c r="C10" s="5">
        <f>(JUNI!I10+JUNI!I11)/1000</f>
        <v>661.79899999999998</v>
      </c>
      <c r="D10" s="5">
        <f t="shared" si="0"/>
        <v>3374.1689999999999</v>
      </c>
      <c r="E10" s="6">
        <v>6760</v>
      </c>
      <c r="F10" s="7">
        <f t="shared" si="1"/>
        <v>0.49913742603550293</v>
      </c>
    </row>
    <row r="11" spans="1:7">
      <c r="A11" s="55">
        <v>10</v>
      </c>
      <c r="B11" s="5">
        <f>JUNI!J5/1000</f>
        <v>2999.335</v>
      </c>
      <c r="C11" s="5">
        <f>(JUNI!J10+JUNI!J11)/1000</f>
        <v>771.79100000000005</v>
      </c>
      <c r="D11" s="5">
        <f t="shared" si="0"/>
        <v>3771.1260000000002</v>
      </c>
      <c r="E11" s="6">
        <v>6760</v>
      </c>
      <c r="F11" s="7">
        <f t="shared" si="1"/>
        <v>0.55785887573964499</v>
      </c>
    </row>
    <row r="12" spans="1:7">
      <c r="A12" s="55">
        <v>11</v>
      </c>
      <c r="B12" s="5">
        <f>JUNI!K5/1000</f>
        <v>2984.66</v>
      </c>
      <c r="C12" s="5">
        <f>(JUNI!K10+JUNI!K11)/1000</f>
        <v>692.15</v>
      </c>
      <c r="D12" s="5">
        <f t="shared" si="0"/>
        <v>3676.81</v>
      </c>
      <c r="E12" s="6">
        <v>6760</v>
      </c>
      <c r="F12" s="7">
        <f t="shared" si="1"/>
        <v>0.54390680473372777</v>
      </c>
    </row>
    <row r="13" spans="1:7">
      <c r="A13" s="55">
        <v>12</v>
      </c>
      <c r="B13" s="5">
        <f>JUNI!L5/1000</f>
        <v>2900.05</v>
      </c>
      <c r="C13" s="5">
        <f>(JUNI!L10+JUNI!L11)/1000</f>
        <v>620.27800000000002</v>
      </c>
      <c r="D13" s="5">
        <f t="shared" si="0"/>
        <v>3520.3280000000004</v>
      </c>
      <c r="E13" s="6">
        <v>6760</v>
      </c>
      <c r="F13" s="7">
        <f t="shared" si="1"/>
        <v>0.52075857988165686</v>
      </c>
    </row>
    <row r="14" spans="1:7">
      <c r="A14" s="55">
        <v>13</v>
      </c>
      <c r="B14" s="5">
        <f>JUNI!M5/1000</f>
        <v>3294.92</v>
      </c>
      <c r="C14" s="5">
        <f>(JUNI!M10+JUNI!M11)/1000</f>
        <v>468.505</v>
      </c>
      <c r="D14" s="5">
        <f t="shared" si="0"/>
        <v>3763.4250000000002</v>
      </c>
      <c r="E14" s="6">
        <v>6760</v>
      </c>
      <c r="F14" s="7">
        <f t="shared" si="1"/>
        <v>0.55671967455621307</v>
      </c>
    </row>
    <row r="15" spans="1:7">
      <c r="A15" s="55">
        <v>15</v>
      </c>
      <c r="B15" s="5">
        <f>JUNI!N5/1000</f>
        <v>5338.82</v>
      </c>
      <c r="C15" s="5">
        <f>(JUNI!N10+JUNI!N11)/1000</f>
        <v>469.69200000000001</v>
      </c>
      <c r="D15" s="5">
        <f t="shared" si="0"/>
        <v>5808.5119999999997</v>
      </c>
      <c r="E15" s="6">
        <v>6760</v>
      </c>
      <c r="F15" s="7">
        <f t="shared" si="1"/>
        <v>0.85924733727810643</v>
      </c>
    </row>
    <row r="16" spans="1:7">
      <c r="A16" s="55">
        <v>17</v>
      </c>
      <c r="B16" s="5">
        <f>JUNI!O5/1000</f>
        <v>6817.5050000000001</v>
      </c>
      <c r="C16" s="5">
        <f>(JUNI!O10+JUNI!O11)/1000</f>
        <v>441.21</v>
      </c>
      <c r="D16" s="5">
        <f t="shared" si="0"/>
        <v>7258.7150000000001</v>
      </c>
      <c r="E16" s="6">
        <v>6760</v>
      </c>
      <c r="F16" s="7">
        <f t="shared" si="1"/>
        <v>1.0737744082840237</v>
      </c>
    </row>
    <row r="17" spans="1:19">
      <c r="A17" s="55">
        <v>18</v>
      </c>
      <c r="B17" s="5">
        <f>JUNI!P5/1000</f>
        <v>6986.2049999999999</v>
      </c>
      <c r="C17" s="5">
        <f>(JUNI!P10+JUNI!P11)/1000</f>
        <v>642.66999999999996</v>
      </c>
      <c r="D17" s="5">
        <f t="shared" si="0"/>
        <v>7628.875</v>
      </c>
      <c r="E17" s="6">
        <v>6760</v>
      </c>
      <c r="F17" s="7">
        <f t="shared" si="1"/>
        <v>1.1285318047337278</v>
      </c>
    </row>
    <row r="18" spans="1:19">
      <c r="A18" s="55">
        <v>19</v>
      </c>
      <c r="B18" s="5">
        <f>JUNI!Q5/1000</f>
        <v>7137.21</v>
      </c>
      <c r="C18" s="5">
        <f>(JUNI!Q10+JUNI!Q11)/1000</f>
        <v>391.483</v>
      </c>
      <c r="D18" s="5">
        <f t="shared" si="0"/>
        <v>7528.6930000000002</v>
      </c>
      <c r="E18" s="6">
        <v>6760</v>
      </c>
      <c r="F18" s="7">
        <f t="shared" si="1"/>
        <v>1.1137119822485206</v>
      </c>
    </row>
    <row r="19" spans="1:19" ht="15.75">
      <c r="A19" s="55">
        <v>20</v>
      </c>
      <c r="B19" s="5">
        <f>JUNI!R5/1000</f>
        <v>7232.04</v>
      </c>
      <c r="C19" s="5">
        <f>(JUNI!R10+JUNI!R11)/1000</f>
        <v>553.83699999999999</v>
      </c>
      <c r="D19" s="5">
        <f t="shared" si="0"/>
        <v>7785.8770000000004</v>
      </c>
      <c r="E19" s="6">
        <v>6760</v>
      </c>
      <c r="F19" s="7">
        <f t="shared" si="1"/>
        <v>1.151756952662722</v>
      </c>
      <c r="H19" s="8" t="s">
        <v>20</v>
      </c>
    </row>
    <row r="20" spans="1:19" ht="15.75">
      <c r="A20" s="55">
        <v>22</v>
      </c>
      <c r="B20" s="5">
        <f>JUNI!S5/1000</f>
        <v>7480.8149999999996</v>
      </c>
      <c r="C20" s="5">
        <f>(JUNI!S10+JUNI!S11)/1000</f>
        <v>585.03</v>
      </c>
      <c r="D20" s="5">
        <f t="shared" si="0"/>
        <v>8065.8449999999993</v>
      </c>
      <c r="E20" s="6">
        <v>6760</v>
      </c>
      <c r="F20" s="7">
        <f t="shared" si="1"/>
        <v>1.1931723372781065</v>
      </c>
      <c r="H20" s="8" t="s">
        <v>24</v>
      </c>
      <c r="J20" s="39">
        <v>6760</v>
      </c>
      <c r="K20" s="41" t="s">
        <v>25</v>
      </c>
    </row>
    <row r="21" spans="1:19" ht="15.75">
      <c r="A21" s="55">
        <v>23</v>
      </c>
      <c r="B21" s="5">
        <f>JUNI!T5/1000</f>
        <v>7697.0249999999996</v>
      </c>
      <c r="C21" s="5">
        <f>(JUNI!T10+JUNI!T11)/1000</f>
        <v>641.36</v>
      </c>
      <c r="D21" s="5">
        <f t="shared" si="0"/>
        <v>8338.3850000000002</v>
      </c>
      <c r="E21" s="6">
        <v>6760</v>
      </c>
      <c r="F21" s="7">
        <f t="shared" si="1"/>
        <v>1.2334889053254439</v>
      </c>
      <c r="H21" s="58" t="s">
        <v>65</v>
      </c>
      <c r="I21" s="58"/>
      <c r="J21" s="9">
        <v>7464</v>
      </c>
      <c r="K21" s="8" t="s">
        <v>25</v>
      </c>
    </row>
    <row r="22" spans="1:19" ht="15.75">
      <c r="A22" s="55">
        <v>24</v>
      </c>
      <c r="B22" s="5">
        <f>JUNI!U5/1000</f>
        <v>8093.4250000000002</v>
      </c>
      <c r="C22" s="5">
        <f>(JUNI!U10+JUNI!U11)/1000</f>
        <v>676.43</v>
      </c>
      <c r="D22" s="5">
        <f t="shared" si="0"/>
        <v>8769.8549999999996</v>
      </c>
      <c r="E22" s="6">
        <v>6760</v>
      </c>
      <c r="F22" s="7">
        <f t="shared" si="1"/>
        <v>1.2973158284023667</v>
      </c>
      <c r="H22" s="8" t="s">
        <v>26</v>
      </c>
      <c r="J22" s="40">
        <f>J21/J20</f>
        <v>1.1041420118343195</v>
      </c>
      <c r="K22" s="8" t="s">
        <v>25</v>
      </c>
    </row>
    <row r="23" spans="1:19" s="1" customFormat="1">
      <c r="A23" s="55">
        <v>25</v>
      </c>
      <c r="B23" s="5">
        <f>JUNI!V5/1000</f>
        <v>7542.3649999999998</v>
      </c>
      <c r="C23" s="5">
        <f>(JUNI!V10+JUNI!V11)/1000</f>
        <v>594.53300000000002</v>
      </c>
      <c r="D23" s="5">
        <f t="shared" si="0"/>
        <v>8136.8980000000001</v>
      </c>
      <c r="E23" s="6">
        <v>6760</v>
      </c>
      <c r="F23" s="7">
        <f t="shared" si="1"/>
        <v>1.2036831360946745</v>
      </c>
      <c r="H23" s="41" t="s">
        <v>27</v>
      </c>
      <c r="I23" s="41"/>
      <c r="J23" s="42">
        <f>100%-J22</f>
        <v>-0.10414201183431948</v>
      </c>
      <c r="K23" s="41" t="s">
        <v>25</v>
      </c>
    </row>
    <row r="24" spans="1:19" s="1" customFormat="1">
      <c r="A24" s="55">
        <v>26</v>
      </c>
      <c r="B24" s="5">
        <f>JUNI!W5/1000</f>
        <v>7559.875</v>
      </c>
      <c r="C24" s="5">
        <f>(JUNI!W10+JUNI!W11)/1000</f>
        <v>641.83699999999999</v>
      </c>
      <c r="D24" s="5">
        <f t="shared" si="0"/>
        <v>8201.7119999999995</v>
      </c>
      <c r="E24" s="6">
        <v>6760</v>
      </c>
      <c r="F24" s="7">
        <f t="shared" si="1"/>
        <v>1.2132710059171596</v>
      </c>
    </row>
    <row r="25" spans="1:19" s="1" customFormat="1">
      <c r="A25" s="55">
        <v>27</v>
      </c>
      <c r="B25" s="5">
        <f>JUNI!X5/1000</f>
        <v>7688.0950000000003</v>
      </c>
      <c r="C25" s="5">
        <f>(JUNI!X10+JUNI!X11)/1000</f>
        <v>784.63699999999994</v>
      </c>
      <c r="D25" s="5">
        <f t="shared" si="0"/>
        <v>8472.732</v>
      </c>
      <c r="E25" s="6">
        <v>6760</v>
      </c>
      <c r="F25" s="7">
        <f t="shared" si="1"/>
        <v>1.2533627218934911</v>
      </c>
    </row>
    <row r="26" spans="1:19" s="1" customFormat="1">
      <c r="A26" s="55">
        <v>29</v>
      </c>
      <c r="B26" s="5">
        <f>JUNI!Y5/1000</f>
        <v>7229.3990000000003</v>
      </c>
      <c r="C26" s="5">
        <f>(JUNI!Y10+JUNI!Y11)/1000</f>
        <v>730.19200000000001</v>
      </c>
      <c r="D26" s="5">
        <f t="shared" si="0"/>
        <v>7959.5910000000003</v>
      </c>
      <c r="E26" s="6">
        <v>6760</v>
      </c>
      <c r="F26" s="7">
        <f t="shared" si="1"/>
        <v>1.1774542899408285</v>
      </c>
    </row>
    <row r="27" spans="1:19" s="1" customFormat="1">
      <c r="A27" s="55">
        <v>30</v>
      </c>
      <c r="B27" s="5">
        <f>JUNI!Z5/1000</f>
        <v>6732.0309999999999</v>
      </c>
      <c r="C27" s="5">
        <f>(JUNI!Z10+JUNI!Z11)/1000</f>
        <v>731.66</v>
      </c>
      <c r="D27" s="5">
        <f t="shared" ref="D27" si="2">B27+C27</f>
        <v>7463.6909999999998</v>
      </c>
      <c r="E27" s="6">
        <v>6760</v>
      </c>
      <c r="F27" s="7">
        <f t="shared" ref="F27" si="3">D27/E27</f>
        <v>1.1040963017751479</v>
      </c>
    </row>
    <row r="28" spans="1:19" s="1" customFormat="1">
      <c r="A28" s="10" t="s">
        <v>1</v>
      </c>
      <c r="B28" s="11">
        <f>AVERAGE(B4:B27)</f>
        <v>5261.4977083333333</v>
      </c>
      <c r="C28" s="11">
        <f>AVERAGE(C4:C27)</f>
        <v>628.24895833333346</v>
      </c>
      <c r="D28" s="11">
        <f>AVERAGE(D4:D27)</f>
        <v>5889.746666666666</v>
      </c>
      <c r="E28" s="11">
        <f>AVERAGE(E4:E27)</f>
        <v>6760</v>
      </c>
      <c r="F28" s="12">
        <f>AVERAGE(F4:F27)</f>
        <v>0.87126429980276143</v>
      </c>
    </row>
    <row r="29" spans="1:19">
      <c r="A29" s="13" t="s">
        <v>21</v>
      </c>
      <c r="B29" s="14">
        <f>MAX(B4:B26)</f>
        <v>8093.4250000000002</v>
      </c>
      <c r="C29" s="14">
        <f>MAX(C4:C26)</f>
        <v>801.73199999999997</v>
      </c>
      <c r="D29" s="14">
        <f>MAX(D4:D26)</f>
        <v>8769.8549999999996</v>
      </c>
      <c r="E29" s="15">
        <v>6760</v>
      </c>
      <c r="F29" s="16">
        <f>D29/E29</f>
        <v>1.2973158284023667</v>
      </c>
      <c r="Q29" s="2"/>
      <c r="R29" s="2"/>
      <c r="S29" s="2"/>
    </row>
    <row r="30" spans="1:19" s="1" customFormat="1">
      <c r="A30" s="17"/>
      <c r="B30" s="18"/>
      <c r="C30" s="18"/>
      <c r="D30" s="18"/>
      <c r="E30" s="19"/>
      <c r="F30" s="20"/>
    </row>
    <row r="31" spans="1:19" s="1" customFormat="1">
      <c r="A31" s="17"/>
      <c r="B31" s="18"/>
      <c r="C31" s="18"/>
      <c r="D31" s="18"/>
      <c r="E31" s="19"/>
      <c r="F31" s="20"/>
    </row>
    <row r="32" spans="1:19" s="1" customFormat="1">
      <c r="A32" s="21" t="s">
        <v>58</v>
      </c>
      <c r="B32" s="2"/>
      <c r="C32" s="2"/>
      <c r="D32" s="2"/>
      <c r="E32" s="2"/>
      <c r="F32" s="2"/>
    </row>
    <row r="33" spans="1:16" s="1" customFormat="1">
      <c r="A33" s="63" t="s">
        <v>17</v>
      </c>
      <c r="B33" s="65" t="s">
        <v>0</v>
      </c>
      <c r="C33" s="66"/>
      <c r="D33" s="63" t="s">
        <v>31</v>
      </c>
      <c r="E33" s="63" t="s">
        <v>18</v>
      </c>
      <c r="F33" s="63" t="s">
        <v>19</v>
      </c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s="1" customFormat="1">
      <c r="A34" s="64"/>
      <c r="B34" s="22" t="s">
        <v>28</v>
      </c>
      <c r="C34" s="22" t="s">
        <v>30</v>
      </c>
      <c r="D34" s="64"/>
      <c r="E34" s="64"/>
      <c r="F34" s="64"/>
      <c r="H34" s="2"/>
      <c r="J34" s="2"/>
      <c r="K34" s="2"/>
    </row>
    <row r="35" spans="1:16" s="1" customFormat="1">
      <c r="A35" s="55">
        <v>2</v>
      </c>
      <c r="B35" s="48">
        <f>(JUNI!C12+JUNI!C13+JUNI!C14+JUNI!C15+JUNI!C16+JUNI!C17+JUNI!C18+JUNI!C19+JUNI!C20+JUNI!C23)/1000</f>
        <v>9912.83</v>
      </c>
      <c r="C35" s="36">
        <f>(JUNI!C21+JUNI!C22)/1000</f>
        <v>1475.508</v>
      </c>
      <c r="D35" s="36">
        <f t="shared" ref="D35:D57" si="4">B35+C35</f>
        <v>11388.338</v>
      </c>
      <c r="E35" s="37">
        <v>12000</v>
      </c>
      <c r="F35" s="38">
        <f>D35/E35</f>
        <v>0.94902816666666667</v>
      </c>
      <c r="H35" s="2"/>
      <c r="J35" s="2"/>
      <c r="K35" s="2"/>
    </row>
    <row r="36" spans="1:16" s="1" customFormat="1">
      <c r="A36" s="55">
        <v>3</v>
      </c>
      <c r="B36" s="48">
        <f>(JUNI!D12+JUNI!D13+JUNI!D14+JUNI!D15+JUNI!D16+JUNI!D17+JUNI!D18+JUNI!D19+JUNI!D20+JUNI!D23)/1000</f>
        <v>9757.3230000000003</v>
      </c>
      <c r="C36" s="36">
        <f>(JUNI!D21+JUNI!D22)/1000</f>
        <v>1406.65</v>
      </c>
      <c r="D36" s="36">
        <f t="shared" si="4"/>
        <v>11163.973</v>
      </c>
      <c r="E36" s="37">
        <v>12000</v>
      </c>
      <c r="F36" s="38">
        <f t="shared" ref="F36:F57" si="5">D36/E36</f>
        <v>0.93033108333333336</v>
      </c>
    </row>
    <row r="37" spans="1:16" s="1" customFormat="1">
      <c r="A37" s="55">
        <v>4</v>
      </c>
      <c r="B37" s="48">
        <f>(JUNI!E12+JUNI!E13+JUNI!E14+JUNI!E15+JUNI!E16+JUNI!E17+JUNI!E18+JUNI!E19+JUNI!E20+JUNI!E23)/1000</f>
        <v>12619.594999999999</v>
      </c>
      <c r="C37" s="36">
        <f>(JUNI!E21+JUNI!E22)/1000</f>
        <v>1283.4570000000001</v>
      </c>
      <c r="D37" s="36">
        <f t="shared" si="4"/>
        <v>13903.052</v>
      </c>
      <c r="E37" s="37">
        <v>12000</v>
      </c>
      <c r="F37" s="38">
        <f t="shared" si="5"/>
        <v>1.1585876666666666</v>
      </c>
    </row>
    <row r="38" spans="1:16" s="1" customFormat="1">
      <c r="A38" s="55">
        <v>5</v>
      </c>
      <c r="B38" s="48">
        <f>(JUNI!F12+JUNI!F13+JUNI!F14+JUNI!F15+JUNI!F16+JUNI!F17+JUNI!F18+JUNI!F19+JUNI!F20+JUNI!F23)/1000</f>
        <v>12828.517</v>
      </c>
      <c r="C38" s="36">
        <f>(JUNI!F21+JUNI!F22)/1000</f>
        <v>1006.635</v>
      </c>
      <c r="D38" s="36">
        <f t="shared" si="4"/>
        <v>13835.152</v>
      </c>
      <c r="E38" s="37">
        <v>12000</v>
      </c>
      <c r="F38" s="38">
        <f t="shared" si="5"/>
        <v>1.1529293333333333</v>
      </c>
    </row>
    <row r="39" spans="1:16" s="1" customFormat="1">
      <c r="A39" s="55">
        <v>6</v>
      </c>
      <c r="B39" s="48">
        <f>(JUNI!G12+JUNI!G13+JUNI!G14+JUNI!G15+JUNI!G16+JUNI!G17+JUNI!G18+JUNI!G19+JUNI!G20+JUNI!G23)/1000</f>
        <v>13013.504000000001</v>
      </c>
      <c r="C39" s="36">
        <f>(JUNI!G21+JUNI!G22)/1000</f>
        <v>951.60699999999997</v>
      </c>
      <c r="D39" s="36">
        <f t="shared" si="4"/>
        <v>13965.111000000001</v>
      </c>
      <c r="E39" s="37">
        <v>12000</v>
      </c>
      <c r="F39" s="38">
        <f t="shared" si="5"/>
        <v>1.16375925</v>
      </c>
    </row>
    <row r="40" spans="1:16" s="1" customFormat="1">
      <c r="A40" s="55">
        <v>8</v>
      </c>
      <c r="B40" s="48">
        <f>(JUNI!H12+JUNI!H13+JUNI!H14+JUNI!H15+JUNI!H16+JUNI!H17+JUNI!H18+JUNI!H19+JUNI!H20+JUNI!H23)/1000</f>
        <v>14297.642</v>
      </c>
      <c r="C40" s="36">
        <f>(JUNI!H21+JUNI!H22)/1000</f>
        <v>1132.03</v>
      </c>
      <c r="D40" s="36">
        <f t="shared" si="4"/>
        <v>15429.672</v>
      </c>
      <c r="E40" s="37">
        <v>12000</v>
      </c>
      <c r="F40" s="38">
        <f t="shared" si="5"/>
        <v>1.285806</v>
      </c>
    </row>
    <row r="41" spans="1:16" s="1" customFormat="1">
      <c r="A41" s="55">
        <v>9</v>
      </c>
      <c r="B41" s="48">
        <f>(JUNI!I12+JUNI!I13+JUNI!I14+JUNI!I15+JUNI!I16+JUNI!I17+JUNI!I18+JUNI!I19+JUNI!I20+JUNI!I23)/1000</f>
        <v>14665.763999999999</v>
      </c>
      <c r="C41" s="36">
        <f>(JUNI!I21+JUNI!I22)/1000</f>
        <v>908.89400000000001</v>
      </c>
      <c r="D41" s="36">
        <f t="shared" si="4"/>
        <v>15574.657999999999</v>
      </c>
      <c r="E41" s="37">
        <v>12000</v>
      </c>
      <c r="F41" s="38">
        <f t="shared" si="5"/>
        <v>1.2978881666666666</v>
      </c>
    </row>
    <row r="42" spans="1:16" s="1" customFormat="1">
      <c r="A42" s="55">
        <v>10</v>
      </c>
      <c r="B42" s="48">
        <f>(JUNI!J12+JUNI!J13+JUNI!J14+JUNI!J15+JUNI!J16+JUNI!J17+JUNI!J18+JUNI!J19+JUNI!J20+JUNI!J23)/1000</f>
        <v>14103.614</v>
      </c>
      <c r="C42" s="36">
        <f>(JUNI!J21+JUNI!J22)/1000</f>
        <v>868.74400000000003</v>
      </c>
      <c r="D42" s="36">
        <f t="shared" si="4"/>
        <v>14972.358</v>
      </c>
      <c r="E42" s="37">
        <v>12000</v>
      </c>
      <c r="F42" s="38">
        <f t="shared" si="5"/>
        <v>1.2476965</v>
      </c>
    </row>
    <row r="43" spans="1:16" s="1" customFormat="1">
      <c r="A43" s="55">
        <v>11</v>
      </c>
      <c r="B43" s="48">
        <f>(JUNI!K12+JUNI!K13+JUNI!K14+JUNI!K15+JUNI!K16+JUNI!K17+JUNI!K18+JUNI!K19+JUNI!K20+JUNI!K23)/1000</f>
        <v>13819.33</v>
      </c>
      <c r="C43" s="36">
        <f>(JUNI!K21+JUNI!K22)/1000</f>
        <v>665.07799999999997</v>
      </c>
      <c r="D43" s="36">
        <f t="shared" si="4"/>
        <v>14484.407999999999</v>
      </c>
      <c r="E43" s="37">
        <v>12000</v>
      </c>
      <c r="F43" s="38">
        <f t="shared" si="5"/>
        <v>1.2070339999999999</v>
      </c>
    </row>
    <row r="44" spans="1:16" s="1" customFormat="1">
      <c r="A44" s="55">
        <v>12</v>
      </c>
      <c r="B44" s="48">
        <f>(JUNI!L12+JUNI!L13+JUNI!L14+JUNI!L15+JUNI!L16+JUNI!L17+JUNI!L18+JUNI!L19+JUNI!L20+JUNI!L23)/1000</f>
        <v>14214.848</v>
      </c>
      <c r="C44" s="36">
        <f>(JUNI!L21+JUNI!L22)/1000</f>
        <v>800.47900000000004</v>
      </c>
      <c r="D44" s="36">
        <f t="shared" si="4"/>
        <v>15015.326999999999</v>
      </c>
      <c r="E44" s="37">
        <v>12000</v>
      </c>
      <c r="F44" s="38">
        <f t="shared" si="5"/>
        <v>1.25127725</v>
      </c>
    </row>
    <row r="45" spans="1:16" s="1" customFormat="1">
      <c r="A45" s="55">
        <v>13</v>
      </c>
      <c r="B45" s="48">
        <f>(JUNI!M12+JUNI!M13+JUNI!M14+JUNI!M15+JUNI!M16+JUNI!M17+JUNI!M18+JUNI!M19+JUNI!M20+JUNI!M23)/1000</f>
        <v>14559.201999999999</v>
      </c>
      <c r="C45" s="36">
        <f>(JUNI!M21+JUNI!M22)/1000</f>
        <v>716.64599999999996</v>
      </c>
      <c r="D45" s="36">
        <f t="shared" si="4"/>
        <v>15275.848</v>
      </c>
      <c r="E45" s="37">
        <v>12000</v>
      </c>
      <c r="F45" s="38">
        <f t="shared" si="5"/>
        <v>1.2729873333333332</v>
      </c>
    </row>
    <row r="46" spans="1:16" s="1" customFormat="1">
      <c r="A46" s="55">
        <v>15</v>
      </c>
      <c r="B46" s="48">
        <f>(JUNI!N12+JUNI!N13+JUNI!N14+JUNI!N15+JUNI!N16+JUNI!N17+JUNI!N18+JUNI!N19+JUNI!N20+JUNI!N23)/1000</f>
        <v>14337.540999999999</v>
      </c>
      <c r="C46" s="36">
        <f>(JUNI!N21+JUNI!N22)/1000</f>
        <v>539.78200000000004</v>
      </c>
      <c r="D46" s="36">
        <f t="shared" si="4"/>
        <v>14877.322999999999</v>
      </c>
      <c r="E46" s="37">
        <v>12000</v>
      </c>
      <c r="F46" s="38">
        <f t="shared" si="5"/>
        <v>1.2397769166666666</v>
      </c>
    </row>
    <row r="47" spans="1:16" s="1" customFormat="1">
      <c r="A47" s="55">
        <v>17</v>
      </c>
      <c r="B47" s="48">
        <f>(JUNI!O12+JUNI!O13+JUNI!O14+JUNI!O15+JUNI!O16+JUNI!O17+JUNI!O18+JUNI!O19+JUNI!O20+JUNI!O23)/1000</f>
        <v>13822.013999999999</v>
      </c>
      <c r="C47" s="36">
        <f>(JUNI!O21+JUNI!O22)/1000</f>
        <v>506.29199999999997</v>
      </c>
      <c r="D47" s="36">
        <f t="shared" si="4"/>
        <v>14328.305999999999</v>
      </c>
      <c r="E47" s="37">
        <v>12000</v>
      </c>
      <c r="F47" s="38">
        <f t="shared" si="5"/>
        <v>1.1940255</v>
      </c>
    </row>
    <row r="48" spans="1:16" s="1" customFormat="1">
      <c r="A48" s="55">
        <v>18</v>
      </c>
      <c r="B48" s="48">
        <f>(JUNI!P12+JUNI!P13+JUNI!P14+JUNI!P15+JUNI!P16+JUNI!P17+JUNI!P18+JUNI!P19+JUNI!P20+JUNI!P23)/1000</f>
        <v>12839.169</v>
      </c>
      <c r="C48" s="36">
        <f>(JUNI!P21+JUNI!P22)/1000</f>
        <v>538.48599999999999</v>
      </c>
      <c r="D48" s="36">
        <f t="shared" si="4"/>
        <v>13377.655000000001</v>
      </c>
      <c r="E48" s="37">
        <v>12000</v>
      </c>
      <c r="F48" s="38">
        <f t="shared" si="5"/>
        <v>1.1148045833333333</v>
      </c>
    </row>
    <row r="49" spans="1:27" s="1" customFormat="1">
      <c r="A49" s="55">
        <v>19</v>
      </c>
      <c r="B49" s="48">
        <f>(JUNI!Q12+JUNI!Q13+JUNI!Q14+JUNI!Q15+JUNI!Q16+JUNI!Q17+JUNI!Q18+JUNI!Q19+JUNI!Q20+JUNI!Q23)/1000</f>
        <v>12659.919</v>
      </c>
      <c r="C49" s="36">
        <f>(JUNI!Q21+JUNI!Q22)/1000</f>
        <v>508.06</v>
      </c>
      <c r="D49" s="36">
        <f t="shared" si="4"/>
        <v>13167.978999999999</v>
      </c>
      <c r="E49" s="37">
        <v>12000</v>
      </c>
      <c r="F49" s="38">
        <f t="shared" si="5"/>
        <v>1.0973315833333332</v>
      </c>
    </row>
    <row r="50" spans="1:27" s="1" customFormat="1" ht="15.75">
      <c r="A50" s="55">
        <v>20</v>
      </c>
      <c r="B50" s="48">
        <f>(JUNI!R12+JUNI!R13+JUNI!R14+JUNI!R15+JUNI!R16+JUNI!R17+JUNI!R18+JUNI!R19+JUNI!R20+JUNI!R23)/1000</f>
        <v>11821.453</v>
      </c>
      <c r="C50" s="36">
        <f>(JUNI!R21+JUNI!R22)/1000</f>
        <v>481.70499999999998</v>
      </c>
      <c r="D50" s="36">
        <f t="shared" si="4"/>
        <v>12303.157999999999</v>
      </c>
      <c r="E50" s="37">
        <v>12000</v>
      </c>
      <c r="F50" s="38">
        <f t="shared" si="5"/>
        <v>1.0252631666666667</v>
      </c>
      <c r="H50" s="8" t="s">
        <v>22</v>
      </c>
    </row>
    <row r="51" spans="1:27" s="1" customFormat="1" ht="15.75">
      <c r="A51" s="55">
        <v>22</v>
      </c>
      <c r="B51" s="48">
        <f>(JUNI!S12+JUNI!S13+JUNI!S14+JUNI!S15+JUNI!S16+JUNI!S17+JUNI!S18+JUNI!S19+JUNI!S20+JUNI!S23)/1000</f>
        <v>11571.902</v>
      </c>
      <c r="C51" s="36">
        <f>(JUNI!S21+JUNI!S22)/1000</f>
        <v>478.58499999999998</v>
      </c>
      <c r="D51" s="36">
        <f t="shared" si="4"/>
        <v>12050.486999999999</v>
      </c>
      <c r="E51" s="37">
        <v>12000</v>
      </c>
      <c r="F51" s="38">
        <f t="shared" si="5"/>
        <v>1.0042072499999999</v>
      </c>
      <c r="H51" s="8" t="s">
        <v>23</v>
      </c>
    </row>
    <row r="52" spans="1:27" s="1" customFormat="1" ht="15.75">
      <c r="A52" s="55">
        <v>23</v>
      </c>
      <c r="B52" s="48">
        <f>(JUNI!T12+JUNI!T13+JUNI!T14+JUNI!T15+JUNI!T16+JUNI!T17+JUNI!T18+JUNI!T19+JUNI!T20+JUNI!T23)/1000</f>
        <v>11086.188</v>
      </c>
      <c r="C52" s="36">
        <f>(JUNI!T21+JUNI!T22)/1000</f>
        <v>493.55500000000001</v>
      </c>
      <c r="D52" s="36">
        <f t="shared" si="4"/>
        <v>11579.743</v>
      </c>
      <c r="E52" s="37">
        <v>12000</v>
      </c>
      <c r="F52" s="38">
        <f t="shared" si="5"/>
        <v>0.96497858333333342</v>
      </c>
      <c r="H52" s="8" t="s">
        <v>24</v>
      </c>
      <c r="I52" s="8"/>
      <c r="J52" s="39">
        <v>12000</v>
      </c>
      <c r="K52" s="8" t="s">
        <v>25</v>
      </c>
    </row>
    <row r="53" spans="1:27" s="1" customFormat="1" ht="15.75">
      <c r="A53" s="55">
        <v>24</v>
      </c>
      <c r="B53" s="48">
        <f>(JUNI!U12+JUNI!U13+JUNI!U14+JUNI!U15+JUNI!U16+JUNI!U17+JUNI!U18+JUNI!U19+JUNI!U20+JUNI!U23)/1000</f>
        <v>10613.734</v>
      </c>
      <c r="C53" s="36">
        <f>(JUNI!U21+JUNI!U22)/1000</f>
        <v>495.36500000000001</v>
      </c>
      <c r="D53" s="36">
        <f t="shared" si="4"/>
        <v>11109.099</v>
      </c>
      <c r="E53" s="37">
        <v>12000</v>
      </c>
      <c r="F53" s="38">
        <f t="shared" si="5"/>
        <v>0.92575825</v>
      </c>
      <c r="H53" s="58" t="s">
        <v>65</v>
      </c>
      <c r="I53" s="58"/>
      <c r="J53" s="9">
        <v>10857</v>
      </c>
      <c r="K53" s="8" t="s">
        <v>25</v>
      </c>
    </row>
    <row r="54" spans="1:27" s="1" customFormat="1" ht="15.75">
      <c r="A54" s="55">
        <v>25</v>
      </c>
      <c r="B54" s="48">
        <f>(JUNI!V12+JUNI!V13+JUNI!V14+JUNI!V15+JUNI!V16+JUNI!V17+JUNI!V18+JUNI!V19+JUNI!V20+JUNI!V23)/1000</f>
        <v>10392.223</v>
      </c>
      <c r="C54" s="36">
        <f>(JUNI!V21+JUNI!V22)/1000</f>
        <v>712.423</v>
      </c>
      <c r="D54" s="36">
        <f t="shared" si="4"/>
        <v>11104.646000000001</v>
      </c>
      <c r="E54" s="37">
        <v>12000</v>
      </c>
      <c r="F54" s="38">
        <f t="shared" si="5"/>
        <v>0.92538716666666676</v>
      </c>
      <c r="H54" s="8" t="s">
        <v>26</v>
      </c>
      <c r="I54" s="8"/>
      <c r="J54" s="40">
        <f>J53/J52</f>
        <v>0.90475000000000005</v>
      </c>
      <c r="K54" s="8" t="s">
        <v>25</v>
      </c>
    </row>
    <row r="55" spans="1:27" s="1" customFormat="1" ht="15.75">
      <c r="A55" s="55">
        <v>26</v>
      </c>
      <c r="B55" s="48">
        <f>(JUNI!W12+JUNI!W13+JUNI!W14+JUNI!W15+JUNI!W16+JUNI!W17+JUNI!W18+JUNI!W19+JUNI!W20+JUNI!W23)/1000</f>
        <v>10414.991</v>
      </c>
      <c r="C55" s="36">
        <f>(JUNI!W21+JUNI!W22)/1000</f>
        <v>652.21400000000006</v>
      </c>
      <c r="D55" s="36">
        <f t="shared" si="4"/>
        <v>11067.205</v>
      </c>
      <c r="E55" s="37">
        <v>12000</v>
      </c>
      <c r="F55" s="38">
        <f t="shared" si="5"/>
        <v>0.92226708333333329</v>
      </c>
      <c r="H55" s="8" t="s">
        <v>27</v>
      </c>
      <c r="I55" s="8"/>
      <c r="J55" s="40">
        <f>100%-J54</f>
        <v>9.5249999999999946E-2</v>
      </c>
      <c r="K55" s="8" t="s">
        <v>25</v>
      </c>
    </row>
    <row r="56" spans="1:27" s="1" customFormat="1" ht="15.75">
      <c r="A56" s="55">
        <v>27</v>
      </c>
      <c r="B56" s="48">
        <f>(JUNI!X12+JUNI!X13+JUNI!X14+JUNI!X15+JUNI!X16+JUNI!X17+JUNI!X18+JUNI!X19+JUNI!X20+JUNI!X23)/1000</f>
        <v>10515.991</v>
      </c>
      <c r="C56" s="36">
        <f>(JUNI!X21+JUNI!X22)/1000</f>
        <v>385.49099999999999</v>
      </c>
      <c r="D56" s="36">
        <f t="shared" si="4"/>
        <v>10901.482</v>
      </c>
      <c r="E56" s="37">
        <v>12000</v>
      </c>
      <c r="F56" s="38">
        <f t="shared" si="5"/>
        <v>0.90845683333333338</v>
      </c>
      <c r="H56" s="8"/>
      <c r="I56" s="8"/>
      <c r="J56" s="40"/>
      <c r="K56" s="8"/>
    </row>
    <row r="57" spans="1:27" s="1" customFormat="1" ht="15.75">
      <c r="A57" s="55">
        <v>29</v>
      </c>
      <c r="B57" s="48">
        <f>(JUNI!Y12+JUNI!Y13+JUNI!Y14+JUNI!Y15+JUNI!Y16+JUNI!Y17+JUNI!Y18+JUNI!Y19+JUNI!Y20+JUNI!Y23)/1000</f>
        <v>10588.974</v>
      </c>
      <c r="C57" s="36">
        <f>(JUNI!Y21+JUNI!Y22)/1000</f>
        <v>518.95299999999997</v>
      </c>
      <c r="D57" s="36">
        <f t="shared" si="4"/>
        <v>11107.927</v>
      </c>
      <c r="E57" s="37">
        <v>12000</v>
      </c>
      <c r="F57" s="38">
        <f t="shared" si="5"/>
        <v>0.92566058333333334</v>
      </c>
      <c r="H57" s="8"/>
      <c r="I57" s="8"/>
      <c r="J57" s="40"/>
      <c r="K57" s="8"/>
    </row>
    <row r="58" spans="1:27" s="1" customFormat="1" ht="15.75">
      <c r="A58" s="55">
        <v>30</v>
      </c>
      <c r="B58" s="48">
        <f>(JUNI!Z12+JUNI!Z13+JUNI!Z14+JUNI!Z15+JUNI!Z16+JUNI!Z17+JUNI!Z18+JUNI!Z19+JUNI!Z20+JUNI!Z23)/1000</f>
        <v>9907.7379999999994</v>
      </c>
      <c r="C58" s="36">
        <f>(JUNI!Z21+JUNI!Z22)/1000</f>
        <v>949.04399999999998</v>
      </c>
      <c r="D58" s="36">
        <f t="shared" ref="D58" si="6">B58+C58</f>
        <v>10856.781999999999</v>
      </c>
      <c r="E58" s="37">
        <v>12000</v>
      </c>
      <c r="F58" s="38">
        <f t="shared" ref="F58" si="7">D58/E58</f>
        <v>0.90473183333333329</v>
      </c>
      <c r="H58" s="8"/>
      <c r="I58" s="8"/>
      <c r="J58" s="40"/>
      <c r="K58" s="8"/>
    </row>
    <row r="59" spans="1:27" s="1" customFormat="1" ht="15.75">
      <c r="A59" s="23"/>
      <c r="B59" s="24">
        <f>AVERAGE(B35:B58)</f>
        <v>12265.166916666663</v>
      </c>
      <c r="C59" s="24">
        <f>AVERAGE(C35:C58)</f>
        <v>769.82012500000019</v>
      </c>
      <c r="D59" s="24">
        <f>AVERAGE(D35:D58)</f>
        <v>13034.987041666667</v>
      </c>
      <c r="E59" s="24">
        <f>AVERAGE(E35:E58)</f>
        <v>12000</v>
      </c>
      <c r="F59" s="46">
        <f>AVERAGE(F35:F58)</f>
        <v>1.086248920138889</v>
      </c>
      <c r="H59" s="8"/>
      <c r="I59" s="8"/>
      <c r="J59" s="40"/>
      <c r="K59" s="8"/>
    </row>
    <row r="60" spans="1:27" s="1" customFormat="1" ht="15.75">
      <c r="A60" s="13" t="s">
        <v>21</v>
      </c>
      <c r="B60" s="14">
        <f>MAX(B35:B57)</f>
        <v>14665.763999999999</v>
      </c>
      <c r="C60" s="14">
        <f>MAX(C35:C57)</f>
        <v>1475.508</v>
      </c>
      <c r="D60" s="14">
        <f>MAX(D35:D57)</f>
        <v>15574.657999999999</v>
      </c>
      <c r="E60" s="15">
        <v>12000</v>
      </c>
      <c r="F60" s="16">
        <f>D60/E60</f>
        <v>1.2978881666666666</v>
      </c>
      <c r="H60" s="8"/>
      <c r="I60" s="8"/>
      <c r="J60" s="40"/>
      <c r="K60" s="8"/>
    </row>
    <row r="61" spans="1:27" s="1" customFormat="1">
      <c r="A61" s="17"/>
      <c r="B61" s="18"/>
      <c r="C61" s="18"/>
      <c r="D61" s="18"/>
      <c r="E61" s="19"/>
      <c r="F61" s="20"/>
    </row>
    <row r="62" spans="1:27">
      <c r="A62" s="17"/>
      <c r="B62" s="18"/>
      <c r="C62" s="18"/>
      <c r="D62" s="18"/>
      <c r="E62" s="19"/>
      <c r="F62" s="20"/>
      <c r="T62" s="1"/>
      <c r="U62" s="1"/>
      <c r="V62" s="1"/>
      <c r="W62" s="1"/>
      <c r="X62" s="1"/>
      <c r="Y62" s="1"/>
      <c r="Z62" s="1"/>
      <c r="AA62" s="1"/>
    </row>
    <row r="63" spans="1:27">
      <c r="T63" s="1"/>
    </row>
    <row r="64" spans="1:27">
      <c r="T64" s="1"/>
    </row>
    <row r="65" spans="20:20">
      <c r="T65" s="1"/>
    </row>
    <row r="66" spans="20:20">
      <c r="T66" s="1"/>
    </row>
  </sheetData>
  <mergeCells count="12">
    <mergeCell ref="H53:I53"/>
    <mergeCell ref="A2:A3"/>
    <mergeCell ref="B2:C2"/>
    <mergeCell ref="D2:D3"/>
    <mergeCell ref="E2:E3"/>
    <mergeCell ref="F2:F3"/>
    <mergeCell ref="H21:I21"/>
    <mergeCell ref="A33:A34"/>
    <mergeCell ref="B33:C33"/>
    <mergeCell ref="D33:D34"/>
    <mergeCell ref="E33:E34"/>
    <mergeCell ref="F33:F34"/>
  </mergeCells>
  <pageMargins left="0.7" right="0.7" top="0.75" bottom="0.75" header="0.3" footer="0.3"/>
  <pageSetup orientation="portrait" horizontalDpi="300" verticalDpi="300" r:id="rId1"/>
  <ignoredErrors>
    <ignoredError sqref="F59 F28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CD7B-345B-4A02-BC5C-4B85DB7562C5}">
  <sheetPr>
    <tabColor rgb="FFFDE4CA"/>
  </sheetPr>
  <dimension ref="A1:AD28"/>
  <sheetViews>
    <sheetView zoomScale="93" zoomScaleNormal="93" workbookViewId="0">
      <pane xSplit="2" ySplit="4" topLeftCell="P11" activePane="bottomRight" state="frozen"/>
      <selection activeCell="J63" sqref="J63"/>
      <selection pane="topRight" activeCell="J63" sqref="J63"/>
      <selection pane="bottomLeft" activeCell="J63" sqref="J63"/>
      <selection pane="bottomRight" activeCell="Z8" sqref="Z8"/>
    </sheetView>
  </sheetViews>
  <sheetFormatPr defaultColWidth="9.140625" defaultRowHeight="15"/>
  <cols>
    <col min="1" max="1" width="18.5703125" customWidth="1"/>
    <col min="2" max="2" width="22.85546875" customWidth="1"/>
    <col min="3" max="6" width="10.85546875" customWidth="1"/>
    <col min="7" max="7" width="10.85546875" bestFit="1" customWidth="1"/>
    <col min="8" max="8" width="10.85546875" customWidth="1"/>
    <col min="9" max="10" width="9.7109375" customWidth="1"/>
    <col min="11" max="29" width="10.85546875" customWidth="1"/>
    <col min="30" max="30" width="11.42578125" customWidth="1"/>
  </cols>
  <sheetData>
    <row r="1" spans="1:30" ht="18.75">
      <c r="A1" s="25" t="s">
        <v>62</v>
      </c>
      <c r="B1" s="26"/>
    </row>
    <row r="2" spans="1:30" ht="15.95" customHeight="1">
      <c r="A2" s="27"/>
      <c r="B2" s="28"/>
    </row>
    <row r="3" spans="1:30" ht="18.75" customHeight="1">
      <c r="A3" s="67" t="s">
        <v>0</v>
      </c>
      <c r="B3" s="67"/>
      <c r="C3" s="29">
        <v>1</v>
      </c>
      <c r="D3" s="29">
        <v>2</v>
      </c>
      <c r="E3" s="29">
        <v>3</v>
      </c>
      <c r="F3" s="29">
        <v>4</v>
      </c>
      <c r="G3" s="29">
        <v>6</v>
      </c>
      <c r="H3" s="29">
        <v>7</v>
      </c>
      <c r="I3" s="29">
        <v>8</v>
      </c>
      <c r="J3" s="29">
        <v>9</v>
      </c>
      <c r="K3" s="29">
        <v>10</v>
      </c>
      <c r="L3" s="29">
        <v>11</v>
      </c>
      <c r="M3" s="29">
        <v>13</v>
      </c>
      <c r="N3" s="29">
        <v>14</v>
      </c>
      <c r="O3" s="29">
        <v>15</v>
      </c>
      <c r="P3" s="29">
        <v>16</v>
      </c>
      <c r="Q3" s="29">
        <v>17</v>
      </c>
      <c r="R3" s="29">
        <v>18</v>
      </c>
      <c r="S3" s="29">
        <v>20</v>
      </c>
      <c r="T3" s="29">
        <v>21</v>
      </c>
      <c r="U3" s="29">
        <v>22</v>
      </c>
      <c r="V3" s="29">
        <v>23</v>
      </c>
      <c r="W3" s="29">
        <v>24</v>
      </c>
      <c r="X3" s="29">
        <v>25</v>
      </c>
      <c r="Y3" s="29">
        <v>27</v>
      </c>
      <c r="Z3" s="29">
        <v>28</v>
      </c>
      <c r="AA3" s="29">
        <v>29</v>
      </c>
      <c r="AB3" s="29">
        <v>30</v>
      </c>
      <c r="AC3" s="29">
        <v>31</v>
      </c>
      <c r="AD3" s="34" t="s">
        <v>1</v>
      </c>
    </row>
    <row r="4" spans="1:30" ht="9" customHeight="1">
      <c r="A4" s="3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34"/>
    </row>
    <row r="5" spans="1:30" ht="18.75" customHeight="1">
      <c r="A5" s="68" t="s">
        <v>2</v>
      </c>
      <c r="B5" s="31" t="s">
        <v>3</v>
      </c>
      <c r="C5" s="49">
        <v>5804550</v>
      </c>
      <c r="D5" s="49">
        <v>5818220</v>
      </c>
      <c r="E5" s="32">
        <v>6038085</v>
      </c>
      <c r="F5" s="32">
        <v>5834315</v>
      </c>
      <c r="G5" s="32">
        <v>5979930</v>
      </c>
      <c r="H5" s="32">
        <v>6001928</v>
      </c>
      <c r="I5" s="32">
        <v>6105693</v>
      </c>
      <c r="J5" s="32">
        <v>6472933</v>
      </c>
      <c r="K5" s="32">
        <v>8077194</v>
      </c>
      <c r="L5" s="32">
        <v>7884564</v>
      </c>
      <c r="M5" s="32">
        <v>7449524</v>
      </c>
      <c r="N5" s="32">
        <v>8212060</v>
      </c>
      <c r="O5" s="32">
        <v>8377395</v>
      </c>
      <c r="P5" s="32">
        <v>8297160</v>
      </c>
      <c r="Q5" s="32">
        <v>7904260</v>
      </c>
      <c r="R5" s="32">
        <v>8197460</v>
      </c>
      <c r="S5" s="32">
        <v>8162960</v>
      </c>
      <c r="T5" s="32">
        <v>7751895</v>
      </c>
      <c r="U5" s="32">
        <v>7586990</v>
      </c>
      <c r="V5" s="32"/>
      <c r="W5" s="32"/>
      <c r="X5" s="32"/>
      <c r="Y5" s="32"/>
      <c r="Z5" s="32"/>
      <c r="AA5" s="32"/>
      <c r="AB5" s="32"/>
      <c r="AC5" s="32"/>
      <c r="AD5" s="35">
        <f>AVERAGE(C5:AC5)</f>
        <v>7155637.6842105268</v>
      </c>
    </row>
    <row r="6" spans="1:30" ht="18.75" customHeight="1">
      <c r="A6" s="69"/>
      <c r="B6" s="31" t="s">
        <v>4</v>
      </c>
      <c r="C6" s="32">
        <v>459478</v>
      </c>
      <c r="D6" s="32">
        <v>455278</v>
      </c>
      <c r="E6" s="32">
        <v>455278</v>
      </c>
      <c r="F6" s="32">
        <v>445507</v>
      </c>
      <c r="G6" s="32">
        <v>417588</v>
      </c>
      <c r="H6" s="32">
        <v>412004</v>
      </c>
      <c r="I6" s="32">
        <v>402222</v>
      </c>
      <c r="J6" s="32">
        <v>396642</v>
      </c>
      <c r="K6" s="32">
        <v>391042</v>
      </c>
      <c r="L6" s="32">
        <v>391042</v>
      </c>
      <c r="M6" s="32">
        <v>357626</v>
      </c>
      <c r="N6" s="32">
        <v>357626</v>
      </c>
      <c r="O6" s="32">
        <v>347842</v>
      </c>
      <c r="P6" s="32">
        <v>332368</v>
      </c>
      <c r="Q6" s="32">
        <v>321138</v>
      </c>
      <c r="R6" s="32">
        <v>307076</v>
      </c>
      <c r="S6" s="32">
        <v>428844</v>
      </c>
      <c r="T6" s="32">
        <v>565962</v>
      </c>
      <c r="U6" s="32">
        <v>554758</v>
      </c>
      <c r="V6" s="32"/>
      <c r="W6" s="32"/>
      <c r="X6" s="32"/>
      <c r="Y6" s="32"/>
      <c r="Z6" s="32"/>
      <c r="AA6" s="32"/>
      <c r="AB6" s="32"/>
      <c r="AC6" s="32"/>
      <c r="AD6" s="35">
        <f t="shared" ref="AD6:AD25" si="0">AVERAGE(C6:AC6)</f>
        <v>410490.57894736843</v>
      </c>
    </row>
    <row r="7" spans="1:30" ht="18.75" customHeight="1">
      <c r="A7" s="69"/>
      <c r="B7" s="31" t="s">
        <v>5</v>
      </c>
      <c r="C7" s="32">
        <v>552485</v>
      </c>
      <c r="D7" s="32">
        <v>550276</v>
      </c>
      <c r="E7" s="32">
        <v>550276</v>
      </c>
      <c r="F7" s="32">
        <v>544768</v>
      </c>
      <c r="G7" s="32">
        <v>526079</v>
      </c>
      <c r="H7" s="32">
        <v>521664</v>
      </c>
      <c r="I7" s="32">
        <v>513926</v>
      </c>
      <c r="J7" s="32">
        <v>509513</v>
      </c>
      <c r="K7" s="32">
        <v>507304</v>
      </c>
      <c r="L7" s="32">
        <v>507304</v>
      </c>
      <c r="M7" s="32">
        <v>485249</v>
      </c>
      <c r="N7" s="32">
        <v>631250</v>
      </c>
      <c r="O7" s="32">
        <v>631250</v>
      </c>
      <c r="P7" s="32">
        <v>622435</v>
      </c>
      <c r="Q7" s="32">
        <v>609209</v>
      </c>
      <c r="R7" s="32">
        <v>602599</v>
      </c>
      <c r="S7" s="32">
        <v>587135</v>
      </c>
      <c r="T7" s="32">
        <v>582716</v>
      </c>
      <c r="U7" s="32">
        <v>574965</v>
      </c>
      <c r="V7" s="32"/>
      <c r="W7" s="32"/>
      <c r="X7" s="32"/>
      <c r="Y7" s="32"/>
      <c r="Z7" s="32"/>
      <c r="AA7" s="32"/>
      <c r="AB7" s="32"/>
      <c r="AC7" s="32"/>
      <c r="AD7" s="35">
        <f t="shared" si="0"/>
        <v>558442.26315789472</v>
      </c>
    </row>
    <row r="8" spans="1:30" ht="18.75" customHeight="1" thickBot="1">
      <c r="A8" s="69"/>
      <c r="B8" s="31" t="s">
        <v>6</v>
      </c>
      <c r="C8" s="32">
        <v>6000</v>
      </c>
      <c r="D8" s="32">
        <v>6000</v>
      </c>
      <c r="E8" s="32">
        <v>6000</v>
      </c>
      <c r="F8" s="32">
        <v>6000</v>
      </c>
      <c r="G8" s="32">
        <v>6000</v>
      </c>
      <c r="H8" s="32">
        <v>6000</v>
      </c>
      <c r="I8" s="32">
        <v>6000</v>
      </c>
      <c r="J8" s="57">
        <v>1200</v>
      </c>
      <c r="K8" s="32">
        <v>4800</v>
      </c>
      <c r="L8" s="32">
        <v>4800</v>
      </c>
      <c r="M8" s="32">
        <v>4800</v>
      </c>
      <c r="N8" s="32">
        <v>2400</v>
      </c>
      <c r="O8" s="32">
        <v>2400</v>
      </c>
      <c r="P8" s="32">
        <v>2400</v>
      </c>
      <c r="Q8" s="32">
        <v>2400</v>
      </c>
      <c r="R8" s="32">
        <v>6000</v>
      </c>
      <c r="S8" s="32">
        <v>6000</v>
      </c>
      <c r="T8" s="32">
        <v>6000</v>
      </c>
      <c r="U8" s="32">
        <v>6000</v>
      </c>
      <c r="V8" s="32"/>
      <c r="W8" s="32"/>
      <c r="X8" s="32"/>
      <c r="Y8" s="32"/>
      <c r="Z8" s="32"/>
      <c r="AA8" s="32"/>
      <c r="AB8" s="32"/>
      <c r="AC8" s="32"/>
      <c r="AD8" s="35">
        <f t="shared" si="0"/>
        <v>4800</v>
      </c>
    </row>
    <row r="9" spans="1:30" ht="18.75" customHeight="1">
      <c r="A9" s="69"/>
      <c r="B9" s="31" t="s">
        <v>7</v>
      </c>
      <c r="C9" s="32">
        <v>18800</v>
      </c>
      <c r="D9" s="32">
        <v>18800</v>
      </c>
      <c r="E9" s="32">
        <v>18800</v>
      </c>
      <c r="F9" s="32">
        <v>23800</v>
      </c>
      <c r="G9" s="32">
        <v>21800</v>
      </c>
      <c r="H9" s="32">
        <v>22100</v>
      </c>
      <c r="I9" s="32">
        <v>22100</v>
      </c>
      <c r="J9" s="32">
        <v>21100</v>
      </c>
      <c r="K9" s="32">
        <v>20100</v>
      </c>
      <c r="L9" s="32">
        <v>20100</v>
      </c>
      <c r="M9" s="32">
        <v>17100</v>
      </c>
      <c r="N9" s="32">
        <v>17300</v>
      </c>
      <c r="O9" s="32">
        <v>17300</v>
      </c>
      <c r="P9" s="32">
        <v>14300</v>
      </c>
      <c r="Q9" s="32">
        <v>14540</v>
      </c>
      <c r="R9" s="32">
        <v>16540</v>
      </c>
      <c r="S9" s="32">
        <v>15540</v>
      </c>
      <c r="T9" s="32">
        <v>15540</v>
      </c>
      <c r="U9" s="32">
        <v>12340</v>
      </c>
      <c r="V9" s="32"/>
      <c r="W9" s="32"/>
      <c r="X9" s="32"/>
      <c r="Y9" s="32"/>
      <c r="Z9" s="32"/>
      <c r="AA9" s="32"/>
      <c r="AB9" s="32"/>
      <c r="AC9" s="32"/>
      <c r="AD9" s="35">
        <f t="shared" si="0"/>
        <v>18315.78947368421</v>
      </c>
    </row>
    <row r="10" spans="1:30" ht="18.75" customHeight="1">
      <c r="A10" s="69"/>
      <c r="B10" s="45" t="s">
        <v>29</v>
      </c>
      <c r="C10" s="44">
        <v>325649</v>
      </c>
      <c r="D10" s="44">
        <v>310507</v>
      </c>
      <c r="E10" s="44">
        <v>104415</v>
      </c>
      <c r="F10" s="44">
        <v>293443</v>
      </c>
      <c r="G10" s="44">
        <v>253356</v>
      </c>
      <c r="H10" s="44">
        <v>285768</v>
      </c>
      <c r="I10" s="44">
        <v>328368</v>
      </c>
      <c r="J10" s="44">
        <v>149798</v>
      </c>
      <c r="K10" s="44">
        <v>222228</v>
      </c>
      <c r="L10" s="44">
        <v>277388</v>
      </c>
      <c r="M10" s="44">
        <v>488078</v>
      </c>
      <c r="N10" s="44">
        <v>332303</v>
      </c>
      <c r="O10" s="44">
        <v>594356</v>
      </c>
      <c r="P10" s="44">
        <v>242708</v>
      </c>
      <c r="Q10" s="44">
        <v>206758</v>
      </c>
      <c r="R10" s="44">
        <v>255108</v>
      </c>
      <c r="S10" s="44">
        <v>189253</v>
      </c>
      <c r="T10" s="44">
        <v>234388</v>
      </c>
      <c r="U10" s="44">
        <v>335601</v>
      </c>
      <c r="V10" s="44"/>
      <c r="W10" s="44"/>
      <c r="X10" s="44"/>
      <c r="Y10" s="44"/>
      <c r="Z10" s="44"/>
      <c r="AA10" s="44"/>
      <c r="AB10" s="44"/>
      <c r="AC10" s="44"/>
      <c r="AD10" s="35">
        <f t="shared" si="0"/>
        <v>285761.73684210528</v>
      </c>
    </row>
    <row r="11" spans="1:30" ht="18.75" customHeight="1">
      <c r="A11" s="69"/>
      <c r="B11" s="45" t="s">
        <v>32</v>
      </c>
      <c r="C11" s="44">
        <v>404095</v>
      </c>
      <c r="D11" s="44">
        <v>442240</v>
      </c>
      <c r="E11" s="44">
        <v>466770</v>
      </c>
      <c r="F11" s="44">
        <v>466770</v>
      </c>
      <c r="G11" s="44">
        <v>470665</v>
      </c>
      <c r="H11" s="44">
        <v>470665</v>
      </c>
      <c r="I11" s="44">
        <v>470665</v>
      </c>
      <c r="J11" s="44">
        <v>559570</v>
      </c>
      <c r="K11" s="44">
        <v>559570</v>
      </c>
      <c r="L11" s="44">
        <v>559570</v>
      </c>
      <c r="M11" s="44">
        <v>559570</v>
      </c>
      <c r="N11" s="44">
        <v>559570</v>
      </c>
      <c r="O11" s="44">
        <v>559570</v>
      </c>
      <c r="P11" s="44">
        <v>559570</v>
      </c>
      <c r="Q11" s="44">
        <v>559570</v>
      </c>
      <c r="R11" s="44">
        <v>559570</v>
      </c>
      <c r="S11" s="44">
        <v>559570</v>
      </c>
      <c r="T11" s="44">
        <v>559570</v>
      </c>
      <c r="U11" s="44">
        <v>559570</v>
      </c>
      <c r="V11" s="44"/>
      <c r="W11" s="44"/>
      <c r="X11" s="44"/>
      <c r="Y11" s="44"/>
      <c r="Z11" s="44"/>
      <c r="AA11" s="44"/>
      <c r="AB11" s="44"/>
      <c r="AC11" s="44"/>
      <c r="AD11" s="35">
        <f t="shared" si="0"/>
        <v>521405.78947368421</v>
      </c>
    </row>
    <row r="12" spans="1:30" ht="18.75" customHeight="1">
      <c r="A12" s="70" t="s">
        <v>8</v>
      </c>
      <c r="B12" s="31" t="s">
        <v>9</v>
      </c>
      <c r="C12" s="32">
        <v>1445931</v>
      </c>
      <c r="D12" s="32">
        <v>1612141</v>
      </c>
      <c r="E12" s="32">
        <v>1609315</v>
      </c>
      <c r="F12" s="32">
        <v>1436572</v>
      </c>
      <c r="G12" s="32">
        <v>1436572</v>
      </c>
      <c r="H12" s="32">
        <v>2079122</v>
      </c>
      <c r="I12" s="32">
        <v>2327037</v>
      </c>
      <c r="J12" s="32">
        <v>2430986</v>
      </c>
      <c r="K12" s="32">
        <v>2574704</v>
      </c>
      <c r="L12" s="32">
        <v>2835872</v>
      </c>
      <c r="M12" s="32">
        <v>3460122</v>
      </c>
      <c r="N12" s="32">
        <v>3191672</v>
      </c>
      <c r="O12" s="32">
        <v>2434348</v>
      </c>
      <c r="P12" s="32">
        <v>2568092</v>
      </c>
      <c r="Q12" s="32">
        <v>3320867</v>
      </c>
      <c r="R12" s="32">
        <v>2866453</v>
      </c>
      <c r="S12" s="32">
        <v>2904062</v>
      </c>
      <c r="T12" s="32">
        <v>2871676</v>
      </c>
      <c r="U12" s="32">
        <v>2936126</v>
      </c>
      <c r="V12" s="32"/>
      <c r="W12" s="32"/>
      <c r="X12" s="32"/>
      <c r="Y12" s="32"/>
      <c r="Z12" s="32"/>
      <c r="AA12" s="32"/>
      <c r="AB12" s="32"/>
      <c r="AC12" s="32"/>
      <c r="AD12" s="35">
        <f t="shared" si="0"/>
        <v>2439035.2631578948</v>
      </c>
    </row>
    <row r="13" spans="1:30" ht="18.75" customHeight="1">
      <c r="A13" s="71"/>
      <c r="B13" s="31" t="s">
        <v>33</v>
      </c>
      <c r="C13" s="32">
        <v>414393</v>
      </c>
      <c r="D13" s="32">
        <v>424969</v>
      </c>
      <c r="E13" s="32">
        <v>379978</v>
      </c>
      <c r="F13" s="32">
        <v>399757</v>
      </c>
      <c r="G13" s="32">
        <v>962541</v>
      </c>
      <c r="H13" s="32">
        <v>901451</v>
      </c>
      <c r="I13" s="32">
        <v>916703</v>
      </c>
      <c r="J13" s="32">
        <v>869507</v>
      </c>
      <c r="K13" s="32">
        <v>865381</v>
      </c>
      <c r="L13" s="32">
        <v>808101</v>
      </c>
      <c r="M13" s="32">
        <v>864144</v>
      </c>
      <c r="N13" s="32">
        <v>763529</v>
      </c>
      <c r="O13" s="32">
        <v>815416</v>
      </c>
      <c r="P13" s="32">
        <v>815470</v>
      </c>
      <c r="Q13" s="32">
        <v>815995</v>
      </c>
      <c r="R13" s="32">
        <v>834147</v>
      </c>
      <c r="S13" s="32">
        <v>834147</v>
      </c>
      <c r="T13" s="32">
        <v>895363</v>
      </c>
      <c r="U13" s="32">
        <v>895363</v>
      </c>
      <c r="V13" s="32"/>
      <c r="W13" s="32"/>
      <c r="X13" s="32"/>
      <c r="Y13" s="32"/>
      <c r="Z13" s="32"/>
      <c r="AA13" s="32"/>
      <c r="AB13" s="32"/>
      <c r="AC13" s="32"/>
      <c r="AD13" s="35">
        <f t="shared" si="0"/>
        <v>761913.42105263157</v>
      </c>
    </row>
    <row r="14" spans="1:30" ht="18.75" customHeight="1">
      <c r="A14" s="71"/>
      <c r="B14" s="31" t="s">
        <v>34</v>
      </c>
      <c r="C14" s="32">
        <v>44007</v>
      </c>
      <c r="D14" s="32">
        <v>44007</v>
      </c>
      <c r="E14" s="32">
        <v>44007</v>
      </c>
      <c r="F14" s="32">
        <v>62741</v>
      </c>
      <c r="G14" s="32">
        <v>62741</v>
      </c>
      <c r="H14" s="32">
        <v>62741</v>
      </c>
      <c r="I14" s="32">
        <v>62741</v>
      </c>
      <c r="J14" s="32">
        <v>62741</v>
      </c>
      <c r="K14" s="32">
        <v>62741</v>
      </c>
      <c r="L14" s="32">
        <v>62741</v>
      </c>
      <c r="M14" s="32">
        <v>62741</v>
      </c>
      <c r="N14" s="32">
        <v>62741</v>
      </c>
      <c r="O14" s="32">
        <v>62741</v>
      </c>
      <c r="P14" s="32">
        <v>62741</v>
      </c>
      <c r="Q14" s="32">
        <v>62741</v>
      </c>
      <c r="R14" s="32">
        <v>68993</v>
      </c>
      <c r="S14" s="32">
        <v>68993</v>
      </c>
      <c r="T14" s="32">
        <v>68993</v>
      </c>
      <c r="U14" s="32">
        <v>68993</v>
      </c>
      <c r="V14" s="32"/>
      <c r="W14" s="32"/>
      <c r="X14" s="32"/>
      <c r="Y14" s="32"/>
      <c r="Z14" s="32"/>
      <c r="AA14" s="32"/>
      <c r="AB14" s="32"/>
      <c r="AC14" s="32"/>
      <c r="AD14" s="35">
        <f t="shared" si="0"/>
        <v>61099.210526315786</v>
      </c>
    </row>
    <row r="15" spans="1:30" ht="18.75" customHeight="1">
      <c r="A15" s="71"/>
      <c r="B15" s="31" t="s">
        <v>35</v>
      </c>
      <c r="C15" s="32">
        <v>879280</v>
      </c>
      <c r="D15" s="32">
        <v>879280</v>
      </c>
      <c r="E15" s="32">
        <v>860099</v>
      </c>
      <c r="F15" s="32">
        <v>860099</v>
      </c>
      <c r="G15" s="32">
        <v>837390</v>
      </c>
      <c r="H15" s="32">
        <v>859962</v>
      </c>
      <c r="I15" s="32">
        <v>859962</v>
      </c>
      <c r="J15" s="32">
        <v>817418</v>
      </c>
      <c r="K15" s="32">
        <v>830006</v>
      </c>
      <c r="L15" s="32">
        <v>857775</v>
      </c>
      <c r="M15" s="32">
        <v>857775</v>
      </c>
      <c r="N15" s="32">
        <v>833742</v>
      </c>
      <c r="O15" s="32">
        <v>734696</v>
      </c>
      <c r="P15" s="32">
        <v>829720</v>
      </c>
      <c r="Q15" s="32">
        <v>794648</v>
      </c>
      <c r="R15" s="32">
        <v>800358</v>
      </c>
      <c r="S15" s="32">
        <v>800358</v>
      </c>
      <c r="T15" s="32">
        <v>732780</v>
      </c>
      <c r="U15" s="32">
        <v>732780</v>
      </c>
      <c r="V15" s="32"/>
      <c r="W15" s="32"/>
      <c r="X15" s="32"/>
      <c r="Y15" s="32"/>
      <c r="Z15" s="32"/>
      <c r="AA15" s="32"/>
      <c r="AB15" s="32"/>
      <c r="AC15" s="32"/>
      <c r="AD15" s="35">
        <f t="shared" si="0"/>
        <v>824112</v>
      </c>
    </row>
    <row r="16" spans="1:30" ht="18.75" customHeight="1">
      <c r="A16" s="71"/>
      <c r="B16" s="31" t="s">
        <v>37</v>
      </c>
      <c r="C16" s="32">
        <v>1373223</v>
      </c>
      <c r="D16" s="32">
        <v>1373223</v>
      </c>
      <c r="E16" s="32">
        <v>1258244</v>
      </c>
      <c r="F16" s="32">
        <v>1303841</v>
      </c>
      <c r="G16" s="32">
        <v>1303841</v>
      </c>
      <c r="H16" s="32">
        <v>1172979</v>
      </c>
      <c r="I16" s="32">
        <v>1172979</v>
      </c>
      <c r="J16" s="32">
        <v>1227184</v>
      </c>
      <c r="K16" s="32">
        <v>1227184</v>
      </c>
      <c r="L16" s="32">
        <v>1265131</v>
      </c>
      <c r="M16" s="32">
        <v>1641178</v>
      </c>
      <c r="N16" s="32">
        <v>1641178</v>
      </c>
      <c r="O16" s="32">
        <v>1641178</v>
      </c>
      <c r="P16" s="32">
        <v>1641216</v>
      </c>
      <c r="Q16" s="32">
        <v>1641216</v>
      </c>
      <c r="R16" s="32">
        <v>1641216</v>
      </c>
      <c r="S16" s="32">
        <v>2031262</v>
      </c>
      <c r="T16" s="32">
        <v>2031262</v>
      </c>
      <c r="U16" s="32">
        <v>2031262</v>
      </c>
      <c r="V16" s="32"/>
      <c r="W16" s="32"/>
      <c r="X16" s="32"/>
      <c r="Y16" s="32"/>
      <c r="Z16" s="32"/>
      <c r="AA16" s="32"/>
      <c r="AB16" s="32"/>
      <c r="AC16" s="32"/>
      <c r="AD16" s="35">
        <f t="shared" si="0"/>
        <v>1506252.4736842106</v>
      </c>
    </row>
    <row r="17" spans="1:30" ht="18.75" customHeight="1">
      <c r="A17" s="71"/>
      <c r="B17" s="47" t="s">
        <v>36</v>
      </c>
      <c r="C17" s="32">
        <v>4475445</v>
      </c>
      <c r="D17" s="32">
        <v>3866239</v>
      </c>
      <c r="E17" s="32">
        <v>3609931</v>
      </c>
      <c r="F17" s="32">
        <v>3609931</v>
      </c>
      <c r="G17" s="32">
        <v>2726716</v>
      </c>
      <c r="H17" s="32">
        <v>2599185</v>
      </c>
      <c r="I17" s="32">
        <v>2599185</v>
      </c>
      <c r="J17" s="32">
        <v>2599185</v>
      </c>
      <c r="K17" s="32">
        <v>1302337</v>
      </c>
      <c r="L17" s="32">
        <v>1302337</v>
      </c>
      <c r="M17" s="32">
        <v>1240602</v>
      </c>
      <c r="N17" s="32">
        <v>1177672</v>
      </c>
      <c r="O17" s="32">
        <v>1177672</v>
      </c>
      <c r="P17" s="32">
        <v>975505</v>
      </c>
      <c r="Q17" s="32">
        <v>975505</v>
      </c>
      <c r="R17" s="32">
        <v>1641216</v>
      </c>
      <c r="S17" s="32">
        <v>848724</v>
      </c>
      <c r="T17" s="32">
        <v>760501</v>
      </c>
      <c r="U17" s="32">
        <v>760501</v>
      </c>
      <c r="V17" s="32"/>
      <c r="W17" s="32"/>
      <c r="X17" s="32"/>
      <c r="Y17" s="32"/>
      <c r="Z17" s="32"/>
      <c r="AA17" s="32"/>
      <c r="AB17" s="32"/>
      <c r="AC17" s="32"/>
      <c r="AD17" s="35">
        <f t="shared" si="0"/>
        <v>2013073.105263158</v>
      </c>
    </row>
    <row r="18" spans="1:30" ht="18.75" customHeight="1">
      <c r="A18" s="71"/>
      <c r="B18" s="31" t="s">
        <v>10</v>
      </c>
      <c r="C18" s="32">
        <v>619286</v>
      </c>
      <c r="D18" s="32">
        <v>598347</v>
      </c>
      <c r="E18" s="32">
        <v>598347</v>
      </c>
      <c r="F18" s="32">
        <v>598347</v>
      </c>
      <c r="G18" s="32">
        <v>598347</v>
      </c>
      <c r="H18" s="32">
        <v>588424</v>
      </c>
      <c r="I18" s="32">
        <v>588424</v>
      </c>
      <c r="J18" s="32">
        <v>588424</v>
      </c>
      <c r="K18" s="32">
        <v>588424</v>
      </c>
      <c r="L18" s="32">
        <v>588424</v>
      </c>
      <c r="M18" s="32">
        <v>582779</v>
      </c>
      <c r="N18" s="32">
        <v>582779</v>
      </c>
      <c r="O18" s="32">
        <v>582779</v>
      </c>
      <c r="P18" s="32">
        <v>590711</v>
      </c>
      <c r="Q18" s="32">
        <v>590711</v>
      </c>
      <c r="R18" s="32">
        <v>590711</v>
      </c>
      <c r="S18" s="32">
        <v>590711</v>
      </c>
      <c r="T18" s="32">
        <v>590711</v>
      </c>
      <c r="U18" s="32">
        <v>590711</v>
      </c>
      <c r="V18" s="32"/>
      <c r="W18" s="32"/>
      <c r="X18" s="32"/>
      <c r="Y18" s="32"/>
      <c r="Z18" s="32"/>
      <c r="AA18" s="32"/>
      <c r="AB18" s="32"/>
      <c r="AC18" s="32"/>
      <c r="AD18" s="35">
        <f t="shared" si="0"/>
        <v>591968.26315789472</v>
      </c>
    </row>
    <row r="19" spans="1:30" ht="18.75" customHeight="1">
      <c r="A19" s="71"/>
      <c r="B19" s="31" t="s">
        <v>11</v>
      </c>
      <c r="C19" s="32">
        <v>77065</v>
      </c>
      <c r="D19" s="32">
        <v>73849</v>
      </c>
      <c r="E19" s="32">
        <v>73849</v>
      </c>
      <c r="F19" s="32">
        <v>73849</v>
      </c>
      <c r="G19" s="32">
        <v>73849</v>
      </c>
      <c r="H19" s="32">
        <v>77215</v>
      </c>
      <c r="I19" s="32">
        <v>77215</v>
      </c>
      <c r="J19" s="32">
        <v>77215</v>
      </c>
      <c r="K19" s="32">
        <v>77215</v>
      </c>
      <c r="L19" s="32">
        <v>77215</v>
      </c>
      <c r="M19" s="32">
        <v>72529</v>
      </c>
      <c r="N19" s="32">
        <v>72529</v>
      </c>
      <c r="O19" s="32">
        <v>72529</v>
      </c>
      <c r="P19" s="32">
        <v>85328</v>
      </c>
      <c r="Q19" s="32">
        <v>85328</v>
      </c>
      <c r="R19" s="32">
        <v>85328</v>
      </c>
      <c r="S19" s="32">
        <v>85328</v>
      </c>
      <c r="T19" s="32">
        <v>85328</v>
      </c>
      <c r="U19" s="32">
        <v>85328</v>
      </c>
      <c r="V19" s="32"/>
      <c r="W19" s="32"/>
      <c r="X19" s="32"/>
      <c r="Y19" s="32"/>
      <c r="Z19" s="32"/>
      <c r="AA19" s="32"/>
      <c r="AB19" s="32"/>
      <c r="AC19" s="32"/>
      <c r="AD19" s="35">
        <f t="shared" si="0"/>
        <v>78320.578947368427</v>
      </c>
    </row>
    <row r="20" spans="1:30" ht="18.75" customHeight="1">
      <c r="A20" s="71"/>
      <c r="B20" s="31" t="s">
        <v>12</v>
      </c>
      <c r="C20" s="32">
        <v>1513141</v>
      </c>
      <c r="D20" s="32">
        <v>1574185</v>
      </c>
      <c r="E20" s="32">
        <v>1722801</v>
      </c>
      <c r="F20" s="32">
        <v>1745812</v>
      </c>
      <c r="G20" s="32">
        <v>1608974</v>
      </c>
      <c r="H20" s="32">
        <v>1528933</v>
      </c>
      <c r="I20" s="32">
        <v>1280516</v>
      </c>
      <c r="J20" s="32">
        <v>954020</v>
      </c>
      <c r="K20" s="32">
        <v>748028</v>
      </c>
      <c r="L20" s="32">
        <v>754004</v>
      </c>
      <c r="M20" s="32">
        <v>577017</v>
      </c>
      <c r="N20" s="32">
        <v>543168</v>
      </c>
      <c r="O20" s="32">
        <v>465221</v>
      </c>
      <c r="P20" s="32">
        <v>481890</v>
      </c>
      <c r="Q20" s="32">
        <v>765982</v>
      </c>
      <c r="R20" s="32">
        <v>955917</v>
      </c>
      <c r="S20" s="32">
        <v>781846</v>
      </c>
      <c r="T20" s="32">
        <v>842969</v>
      </c>
      <c r="U20" s="32">
        <v>682359</v>
      </c>
      <c r="V20" s="32"/>
      <c r="W20" s="32"/>
      <c r="X20" s="32"/>
      <c r="Y20" s="32"/>
      <c r="Z20" s="32"/>
      <c r="AA20" s="32"/>
      <c r="AB20" s="32"/>
      <c r="AC20" s="32"/>
      <c r="AD20" s="35">
        <f t="shared" si="0"/>
        <v>1027725.4210526316</v>
      </c>
    </row>
    <row r="21" spans="1:30" ht="18.75" customHeight="1">
      <c r="A21" s="71"/>
      <c r="B21" s="45" t="s">
        <v>29</v>
      </c>
      <c r="C21" s="44">
        <v>417777</v>
      </c>
      <c r="D21" s="44">
        <v>192055</v>
      </c>
      <c r="E21" s="44">
        <v>161901</v>
      </c>
      <c r="F21" s="44">
        <v>243990</v>
      </c>
      <c r="G21" s="44">
        <v>274711</v>
      </c>
      <c r="H21" s="44">
        <v>71721</v>
      </c>
      <c r="I21" s="44">
        <v>49686</v>
      </c>
      <c r="J21" s="44">
        <v>69441</v>
      </c>
      <c r="K21" s="44">
        <v>66942</v>
      </c>
      <c r="L21" s="44">
        <v>137860</v>
      </c>
      <c r="M21" s="44">
        <v>161686</v>
      </c>
      <c r="N21" s="44">
        <v>216453</v>
      </c>
      <c r="O21" s="44">
        <v>222842</v>
      </c>
      <c r="P21" s="44">
        <v>531522</v>
      </c>
      <c r="Q21" s="44">
        <v>312151</v>
      </c>
      <c r="R21" s="44">
        <v>189835</v>
      </c>
      <c r="S21" s="44">
        <v>291853</v>
      </c>
      <c r="T21" s="44">
        <v>156518</v>
      </c>
      <c r="U21" s="44">
        <v>112838</v>
      </c>
      <c r="V21" s="44"/>
      <c r="W21" s="44"/>
      <c r="X21" s="44"/>
      <c r="Y21" s="44"/>
      <c r="Z21" s="44"/>
      <c r="AA21" s="44"/>
      <c r="AB21" s="44"/>
      <c r="AC21" s="44"/>
      <c r="AD21" s="35">
        <f t="shared" si="0"/>
        <v>204304.31578947368</v>
      </c>
    </row>
    <row r="22" spans="1:30" ht="18.75" customHeight="1">
      <c r="A22" s="71"/>
      <c r="B22" s="45" t="s">
        <v>32</v>
      </c>
      <c r="C22" s="44">
        <v>308698</v>
      </c>
      <c r="D22" s="44">
        <v>308698</v>
      </c>
      <c r="E22" s="44">
        <v>308698</v>
      </c>
      <c r="F22" s="44">
        <v>366178</v>
      </c>
      <c r="G22" s="44">
        <v>314667</v>
      </c>
      <c r="H22" s="44">
        <v>318663</v>
      </c>
      <c r="I22" s="44">
        <v>312254</v>
      </c>
      <c r="J22" s="44">
        <v>304823</v>
      </c>
      <c r="K22" s="44">
        <v>320809</v>
      </c>
      <c r="L22" s="44">
        <v>324384</v>
      </c>
      <c r="M22" s="44">
        <v>305442</v>
      </c>
      <c r="N22" s="44">
        <v>212554</v>
      </c>
      <c r="O22" s="44">
        <v>85061</v>
      </c>
      <c r="P22" s="44">
        <v>139455</v>
      </c>
      <c r="Q22" s="44">
        <v>147004</v>
      </c>
      <c r="R22" s="44">
        <v>98905</v>
      </c>
      <c r="S22" s="44">
        <v>130982</v>
      </c>
      <c r="T22" s="44">
        <v>132728</v>
      </c>
      <c r="U22" s="44">
        <v>130982</v>
      </c>
      <c r="V22" s="44"/>
      <c r="W22" s="44"/>
      <c r="X22" s="44"/>
      <c r="Y22" s="44"/>
      <c r="Z22" s="44"/>
      <c r="AA22" s="44"/>
      <c r="AB22" s="44"/>
      <c r="AC22" s="44"/>
      <c r="AD22" s="35">
        <f t="shared" si="0"/>
        <v>240578.15789473685</v>
      </c>
    </row>
    <row r="23" spans="1:30" ht="18.75" customHeight="1">
      <c r="A23" s="72"/>
      <c r="B23" s="31" t="s">
        <v>14</v>
      </c>
      <c r="C23" s="49">
        <v>46328</v>
      </c>
      <c r="D23" s="49">
        <v>46328</v>
      </c>
      <c r="E23" s="32">
        <v>49275</v>
      </c>
      <c r="F23" s="32">
        <v>51272</v>
      </c>
      <c r="G23" s="32">
        <v>51272</v>
      </c>
      <c r="H23" s="32">
        <v>52433</v>
      </c>
      <c r="I23" s="32">
        <v>52433</v>
      </c>
      <c r="J23" s="32">
        <v>55691</v>
      </c>
      <c r="K23" s="32">
        <v>55691</v>
      </c>
      <c r="L23" s="32">
        <v>56068</v>
      </c>
      <c r="M23" s="32">
        <v>56068</v>
      </c>
      <c r="N23" s="32">
        <v>58392</v>
      </c>
      <c r="O23" s="32">
        <v>58392</v>
      </c>
      <c r="P23" s="32">
        <v>62941</v>
      </c>
      <c r="Q23" s="32">
        <v>62941</v>
      </c>
      <c r="R23" s="32">
        <v>62941</v>
      </c>
      <c r="S23" s="32">
        <v>65702</v>
      </c>
      <c r="T23" s="32">
        <v>65702</v>
      </c>
      <c r="U23" s="32">
        <v>65702</v>
      </c>
      <c r="V23" s="32"/>
      <c r="W23" s="32"/>
      <c r="X23" s="32"/>
      <c r="Y23" s="32"/>
      <c r="Z23" s="32"/>
      <c r="AA23" s="32"/>
      <c r="AB23" s="32"/>
      <c r="AC23" s="32"/>
      <c r="AD23" s="35">
        <f t="shared" si="0"/>
        <v>56609.052631578947</v>
      </c>
    </row>
    <row r="24" spans="1:30" ht="18.75" customHeight="1">
      <c r="A24" s="73" t="s">
        <v>13</v>
      </c>
      <c r="B24" s="31" t="s">
        <v>15</v>
      </c>
      <c r="C24" s="32">
        <v>1197</v>
      </c>
      <c r="D24" s="32">
        <v>1816</v>
      </c>
      <c r="E24" s="32">
        <v>1816</v>
      </c>
      <c r="F24" s="32">
        <v>2508.5</v>
      </c>
      <c r="G24" s="32">
        <v>2508.5</v>
      </c>
      <c r="H24" s="32">
        <v>3096.5</v>
      </c>
      <c r="I24" s="32">
        <v>3096.5</v>
      </c>
      <c r="J24" s="32">
        <v>3096.5</v>
      </c>
      <c r="K24" s="32">
        <v>3096.5</v>
      </c>
      <c r="L24" s="32">
        <v>4686</v>
      </c>
      <c r="M24" s="32">
        <v>4686</v>
      </c>
      <c r="N24" s="32">
        <v>4686</v>
      </c>
      <c r="O24" s="32">
        <v>4686</v>
      </c>
      <c r="P24" s="32">
        <v>1373</v>
      </c>
      <c r="Q24" s="32">
        <v>1373</v>
      </c>
      <c r="R24" s="32">
        <v>1373</v>
      </c>
      <c r="S24" s="32">
        <v>1973.5</v>
      </c>
      <c r="T24" s="32">
        <v>1973.5</v>
      </c>
      <c r="U24" s="32">
        <v>2571</v>
      </c>
      <c r="V24" s="32"/>
      <c r="W24" s="32"/>
      <c r="X24" s="32"/>
      <c r="Y24" s="32"/>
      <c r="Z24" s="32"/>
      <c r="AA24" s="32"/>
      <c r="AB24" s="32"/>
      <c r="AC24" s="32"/>
      <c r="AD24" s="35">
        <f t="shared" si="0"/>
        <v>2716.4736842105262</v>
      </c>
    </row>
    <row r="25" spans="1:30" ht="18.75" customHeight="1">
      <c r="A25" s="74"/>
      <c r="B25" s="31" t="s">
        <v>16</v>
      </c>
      <c r="C25" s="32">
        <v>21781</v>
      </c>
      <c r="D25" s="32">
        <v>21781</v>
      </c>
      <c r="E25" s="32">
        <v>21781</v>
      </c>
      <c r="F25" s="32">
        <v>21781</v>
      </c>
      <c r="G25" s="32">
        <v>21781</v>
      </c>
      <c r="H25" s="32">
        <v>21857</v>
      </c>
      <c r="I25" s="32">
        <v>21857</v>
      </c>
      <c r="J25" s="32">
        <v>21857</v>
      </c>
      <c r="K25" s="32">
        <v>21857</v>
      </c>
      <c r="L25" s="32">
        <v>21857</v>
      </c>
      <c r="M25" s="32">
        <v>21857</v>
      </c>
      <c r="N25" s="32">
        <v>21857</v>
      </c>
      <c r="O25" s="32">
        <v>21857</v>
      </c>
      <c r="P25" s="32">
        <v>21857</v>
      </c>
      <c r="Q25" s="32">
        <v>21857</v>
      </c>
      <c r="R25" s="32">
        <v>21857</v>
      </c>
      <c r="S25" s="32">
        <v>21857</v>
      </c>
      <c r="T25" s="32">
        <v>21857</v>
      </c>
      <c r="U25" s="32">
        <v>21857</v>
      </c>
      <c r="V25" s="32"/>
      <c r="W25" s="32"/>
      <c r="X25" s="32"/>
      <c r="Y25" s="32"/>
      <c r="Z25" s="32"/>
      <c r="AA25" s="32"/>
      <c r="AB25" s="32"/>
      <c r="AC25" s="32"/>
      <c r="AD25" s="35">
        <f t="shared" si="0"/>
        <v>21837</v>
      </c>
    </row>
    <row r="27" spans="1:30">
      <c r="A27" s="28"/>
    </row>
    <row r="28" spans="1:30">
      <c r="A28" s="33"/>
    </row>
  </sheetData>
  <mergeCells count="4">
    <mergeCell ref="A3:B3"/>
    <mergeCell ref="A5:A11"/>
    <mergeCell ref="A12:A23"/>
    <mergeCell ref="A24:A25"/>
  </mergeCells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CDA8-CA2F-42FE-85AC-73901D0AC75B}">
  <sheetPr>
    <tabColor rgb="FFFDE4CA"/>
  </sheetPr>
  <dimension ref="A1:AA72"/>
  <sheetViews>
    <sheetView tabSelected="1" topLeftCell="A19" workbookViewId="0">
      <selection activeCell="M30" sqref="M30"/>
    </sheetView>
  </sheetViews>
  <sheetFormatPr defaultColWidth="9" defaultRowHeight="15"/>
  <cols>
    <col min="1" max="1" width="14.28515625" style="2" customWidth="1"/>
    <col min="2" max="4" width="13.85546875" style="2" customWidth="1"/>
    <col min="5" max="5" width="15.42578125" style="2" customWidth="1"/>
    <col min="6" max="6" width="14.85546875" style="2" customWidth="1"/>
    <col min="7" max="8" width="12.42578125" style="1" customWidth="1"/>
    <col min="9" max="9" width="11.42578125" style="1" customWidth="1"/>
    <col min="10" max="10" width="9.7109375" style="1" bestFit="1" customWidth="1"/>
    <col min="11" max="19" width="9" style="1"/>
    <col min="20" max="257" width="9" style="2"/>
    <col min="258" max="261" width="15.42578125" style="2" customWidth="1"/>
    <col min="262" max="262" width="14" style="2" customWidth="1"/>
    <col min="263" max="263" width="12.42578125" style="2" customWidth="1"/>
    <col min="264" max="264" width="12.28515625" style="2" customWidth="1"/>
    <col min="265" max="265" width="12.140625" style="2" customWidth="1"/>
    <col min="266" max="513" width="9" style="2"/>
    <col min="514" max="517" width="15.42578125" style="2" customWidth="1"/>
    <col min="518" max="518" width="14" style="2" customWidth="1"/>
    <col min="519" max="519" width="12.42578125" style="2" customWidth="1"/>
    <col min="520" max="520" width="12.28515625" style="2" customWidth="1"/>
    <col min="521" max="521" width="12.140625" style="2" customWidth="1"/>
    <col min="522" max="769" width="9" style="2"/>
    <col min="770" max="773" width="15.42578125" style="2" customWidth="1"/>
    <col min="774" max="774" width="14" style="2" customWidth="1"/>
    <col min="775" max="775" width="12.42578125" style="2" customWidth="1"/>
    <col min="776" max="776" width="12.28515625" style="2" customWidth="1"/>
    <col min="777" max="777" width="12.140625" style="2" customWidth="1"/>
    <col min="778" max="1025" width="9" style="2"/>
    <col min="1026" max="1029" width="15.42578125" style="2" customWidth="1"/>
    <col min="1030" max="1030" width="14" style="2" customWidth="1"/>
    <col min="1031" max="1031" width="12.42578125" style="2" customWidth="1"/>
    <col min="1032" max="1032" width="12.28515625" style="2" customWidth="1"/>
    <col min="1033" max="1033" width="12.140625" style="2" customWidth="1"/>
    <col min="1034" max="1281" width="9" style="2"/>
    <col min="1282" max="1285" width="15.42578125" style="2" customWidth="1"/>
    <col min="1286" max="1286" width="14" style="2" customWidth="1"/>
    <col min="1287" max="1287" width="12.42578125" style="2" customWidth="1"/>
    <col min="1288" max="1288" width="12.28515625" style="2" customWidth="1"/>
    <col min="1289" max="1289" width="12.140625" style="2" customWidth="1"/>
    <col min="1290" max="1537" width="9" style="2"/>
    <col min="1538" max="1541" width="15.42578125" style="2" customWidth="1"/>
    <col min="1542" max="1542" width="14" style="2" customWidth="1"/>
    <col min="1543" max="1543" width="12.42578125" style="2" customWidth="1"/>
    <col min="1544" max="1544" width="12.28515625" style="2" customWidth="1"/>
    <col min="1545" max="1545" width="12.140625" style="2" customWidth="1"/>
    <col min="1546" max="1793" width="9" style="2"/>
    <col min="1794" max="1797" width="15.42578125" style="2" customWidth="1"/>
    <col min="1798" max="1798" width="14" style="2" customWidth="1"/>
    <col min="1799" max="1799" width="12.42578125" style="2" customWidth="1"/>
    <col min="1800" max="1800" width="12.28515625" style="2" customWidth="1"/>
    <col min="1801" max="1801" width="12.140625" style="2" customWidth="1"/>
    <col min="1802" max="2049" width="9" style="2"/>
    <col min="2050" max="2053" width="15.42578125" style="2" customWidth="1"/>
    <col min="2054" max="2054" width="14" style="2" customWidth="1"/>
    <col min="2055" max="2055" width="12.42578125" style="2" customWidth="1"/>
    <col min="2056" max="2056" width="12.28515625" style="2" customWidth="1"/>
    <col min="2057" max="2057" width="12.140625" style="2" customWidth="1"/>
    <col min="2058" max="2305" width="9" style="2"/>
    <col min="2306" max="2309" width="15.42578125" style="2" customWidth="1"/>
    <col min="2310" max="2310" width="14" style="2" customWidth="1"/>
    <col min="2311" max="2311" width="12.42578125" style="2" customWidth="1"/>
    <col min="2312" max="2312" width="12.28515625" style="2" customWidth="1"/>
    <col min="2313" max="2313" width="12.140625" style="2" customWidth="1"/>
    <col min="2314" max="2561" width="9" style="2"/>
    <col min="2562" max="2565" width="15.42578125" style="2" customWidth="1"/>
    <col min="2566" max="2566" width="14" style="2" customWidth="1"/>
    <col min="2567" max="2567" width="12.42578125" style="2" customWidth="1"/>
    <col min="2568" max="2568" width="12.28515625" style="2" customWidth="1"/>
    <col min="2569" max="2569" width="12.140625" style="2" customWidth="1"/>
    <col min="2570" max="2817" width="9" style="2"/>
    <col min="2818" max="2821" width="15.42578125" style="2" customWidth="1"/>
    <col min="2822" max="2822" width="14" style="2" customWidth="1"/>
    <col min="2823" max="2823" width="12.42578125" style="2" customWidth="1"/>
    <col min="2824" max="2824" width="12.28515625" style="2" customWidth="1"/>
    <col min="2825" max="2825" width="12.140625" style="2" customWidth="1"/>
    <col min="2826" max="3073" width="9" style="2"/>
    <col min="3074" max="3077" width="15.42578125" style="2" customWidth="1"/>
    <col min="3078" max="3078" width="14" style="2" customWidth="1"/>
    <col min="3079" max="3079" width="12.42578125" style="2" customWidth="1"/>
    <col min="3080" max="3080" width="12.28515625" style="2" customWidth="1"/>
    <col min="3081" max="3081" width="12.140625" style="2" customWidth="1"/>
    <col min="3082" max="3329" width="9" style="2"/>
    <col min="3330" max="3333" width="15.42578125" style="2" customWidth="1"/>
    <col min="3334" max="3334" width="14" style="2" customWidth="1"/>
    <col min="3335" max="3335" width="12.42578125" style="2" customWidth="1"/>
    <col min="3336" max="3336" width="12.28515625" style="2" customWidth="1"/>
    <col min="3337" max="3337" width="12.140625" style="2" customWidth="1"/>
    <col min="3338" max="3585" width="9" style="2"/>
    <col min="3586" max="3589" width="15.42578125" style="2" customWidth="1"/>
    <col min="3590" max="3590" width="14" style="2" customWidth="1"/>
    <col min="3591" max="3591" width="12.42578125" style="2" customWidth="1"/>
    <col min="3592" max="3592" width="12.28515625" style="2" customWidth="1"/>
    <col min="3593" max="3593" width="12.140625" style="2" customWidth="1"/>
    <col min="3594" max="3841" width="9" style="2"/>
    <col min="3842" max="3845" width="15.42578125" style="2" customWidth="1"/>
    <col min="3846" max="3846" width="14" style="2" customWidth="1"/>
    <col min="3847" max="3847" width="12.42578125" style="2" customWidth="1"/>
    <col min="3848" max="3848" width="12.28515625" style="2" customWidth="1"/>
    <col min="3849" max="3849" width="12.140625" style="2" customWidth="1"/>
    <col min="3850" max="4097" width="9" style="2"/>
    <col min="4098" max="4101" width="15.42578125" style="2" customWidth="1"/>
    <col min="4102" max="4102" width="14" style="2" customWidth="1"/>
    <col min="4103" max="4103" width="12.42578125" style="2" customWidth="1"/>
    <col min="4104" max="4104" width="12.28515625" style="2" customWidth="1"/>
    <col min="4105" max="4105" width="12.140625" style="2" customWidth="1"/>
    <col min="4106" max="4353" width="9" style="2"/>
    <col min="4354" max="4357" width="15.42578125" style="2" customWidth="1"/>
    <col min="4358" max="4358" width="14" style="2" customWidth="1"/>
    <col min="4359" max="4359" width="12.42578125" style="2" customWidth="1"/>
    <col min="4360" max="4360" width="12.28515625" style="2" customWidth="1"/>
    <col min="4361" max="4361" width="12.140625" style="2" customWidth="1"/>
    <col min="4362" max="4609" width="9" style="2"/>
    <col min="4610" max="4613" width="15.42578125" style="2" customWidth="1"/>
    <col min="4614" max="4614" width="14" style="2" customWidth="1"/>
    <col min="4615" max="4615" width="12.42578125" style="2" customWidth="1"/>
    <col min="4616" max="4616" width="12.28515625" style="2" customWidth="1"/>
    <col min="4617" max="4617" width="12.140625" style="2" customWidth="1"/>
    <col min="4618" max="4865" width="9" style="2"/>
    <col min="4866" max="4869" width="15.42578125" style="2" customWidth="1"/>
    <col min="4870" max="4870" width="14" style="2" customWidth="1"/>
    <col min="4871" max="4871" width="12.42578125" style="2" customWidth="1"/>
    <col min="4872" max="4872" width="12.28515625" style="2" customWidth="1"/>
    <col min="4873" max="4873" width="12.140625" style="2" customWidth="1"/>
    <col min="4874" max="5121" width="9" style="2"/>
    <col min="5122" max="5125" width="15.42578125" style="2" customWidth="1"/>
    <col min="5126" max="5126" width="14" style="2" customWidth="1"/>
    <col min="5127" max="5127" width="12.42578125" style="2" customWidth="1"/>
    <col min="5128" max="5128" width="12.28515625" style="2" customWidth="1"/>
    <col min="5129" max="5129" width="12.140625" style="2" customWidth="1"/>
    <col min="5130" max="5377" width="9" style="2"/>
    <col min="5378" max="5381" width="15.42578125" style="2" customWidth="1"/>
    <col min="5382" max="5382" width="14" style="2" customWidth="1"/>
    <col min="5383" max="5383" width="12.42578125" style="2" customWidth="1"/>
    <col min="5384" max="5384" width="12.28515625" style="2" customWidth="1"/>
    <col min="5385" max="5385" width="12.140625" style="2" customWidth="1"/>
    <col min="5386" max="5633" width="9" style="2"/>
    <col min="5634" max="5637" width="15.42578125" style="2" customWidth="1"/>
    <col min="5638" max="5638" width="14" style="2" customWidth="1"/>
    <col min="5639" max="5639" width="12.42578125" style="2" customWidth="1"/>
    <col min="5640" max="5640" width="12.28515625" style="2" customWidth="1"/>
    <col min="5641" max="5641" width="12.140625" style="2" customWidth="1"/>
    <col min="5642" max="5889" width="9" style="2"/>
    <col min="5890" max="5893" width="15.42578125" style="2" customWidth="1"/>
    <col min="5894" max="5894" width="14" style="2" customWidth="1"/>
    <col min="5895" max="5895" width="12.42578125" style="2" customWidth="1"/>
    <col min="5896" max="5896" width="12.28515625" style="2" customWidth="1"/>
    <col min="5897" max="5897" width="12.140625" style="2" customWidth="1"/>
    <col min="5898" max="6145" width="9" style="2"/>
    <col min="6146" max="6149" width="15.42578125" style="2" customWidth="1"/>
    <col min="6150" max="6150" width="14" style="2" customWidth="1"/>
    <col min="6151" max="6151" width="12.42578125" style="2" customWidth="1"/>
    <col min="6152" max="6152" width="12.28515625" style="2" customWidth="1"/>
    <col min="6153" max="6153" width="12.140625" style="2" customWidth="1"/>
    <col min="6154" max="6401" width="9" style="2"/>
    <col min="6402" max="6405" width="15.42578125" style="2" customWidth="1"/>
    <col min="6406" max="6406" width="14" style="2" customWidth="1"/>
    <col min="6407" max="6407" width="12.42578125" style="2" customWidth="1"/>
    <col min="6408" max="6408" width="12.28515625" style="2" customWidth="1"/>
    <col min="6409" max="6409" width="12.140625" style="2" customWidth="1"/>
    <col min="6410" max="6657" width="9" style="2"/>
    <col min="6658" max="6661" width="15.42578125" style="2" customWidth="1"/>
    <col min="6662" max="6662" width="14" style="2" customWidth="1"/>
    <col min="6663" max="6663" width="12.42578125" style="2" customWidth="1"/>
    <col min="6664" max="6664" width="12.28515625" style="2" customWidth="1"/>
    <col min="6665" max="6665" width="12.140625" style="2" customWidth="1"/>
    <col min="6666" max="6913" width="9" style="2"/>
    <col min="6914" max="6917" width="15.42578125" style="2" customWidth="1"/>
    <col min="6918" max="6918" width="14" style="2" customWidth="1"/>
    <col min="6919" max="6919" width="12.42578125" style="2" customWidth="1"/>
    <col min="6920" max="6920" width="12.28515625" style="2" customWidth="1"/>
    <col min="6921" max="6921" width="12.140625" style="2" customWidth="1"/>
    <col min="6922" max="7169" width="9" style="2"/>
    <col min="7170" max="7173" width="15.42578125" style="2" customWidth="1"/>
    <col min="7174" max="7174" width="14" style="2" customWidth="1"/>
    <col min="7175" max="7175" width="12.42578125" style="2" customWidth="1"/>
    <col min="7176" max="7176" width="12.28515625" style="2" customWidth="1"/>
    <col min="7177" max="7177" width="12.140625" style="2" customWidth="1"/>
    <col min="7178" max="7425" width="9" style="2"/>
    <col min="7426" max="7429" width="15.42578125" style="2" customWidth="1"/>
    <col min="7430" max="7430" width="14" style="2" customWidth="1"/>
    <col min="7431" max="7431" width="12.42578125" style="2" customWidth="1"/>
    <col min="7432" max="7432" width="12.28515625" style="2" customWidth="1"/>
    <col min="7433" max="7433" width="12.140625" style="2" customWidth="1"/>
    <col min="7434" max="7681" width="9" style="2"/>
    <col min="7682" max="7685" width="15.42578125" style="2" customWidth="1"/>
    <col min="7686" max="7686" width="14" style="2" customWidth="1"/>
    <col min="7687" max="7687" width="12.42578125" style="2" customWidth="1"/>
    <col min="7688" max="7688" width="12.28515625" style="2" customWidth="1"/>
    <col min="7689" max="7689" width="12.140625" style="2" customWidth="1"/>
    <col min="7690" max="7937" width="9" style="2"/>
    <col min="7938" max="7941" width="15.42578125" style="2" customWidth="1"/>
    <col min="7942" max="7942" width="14" style="2" customWidth="1"/>
    <col min="7943" max="7943" width="12.42578125" style="2" customWidth="1"/>
    <col min="7944" max="7944" width="12.28515625" style="2" customWidth="1"/>
    <col min="7945" max="7945" width="12.140625" style="2" customWidth="1"/>
    <col min="7946" max="8193" width="9" style="2"/>
    <col min="8194" max="8197" width="15.42578125" style="2" customWidth="1"/>
    <col min="8198" max="8198" width="14" style="2" customWidth="1"/>
    <col min="8199" max="8199" width="12.42578125" style="2" customWidth="1"/>
    <col min="8200" max="8200" width="12.28515625" style="2" customWidth="1"/>
    <col min="8201" max="8201" width="12.140625" style="2" customWidth="1"/>
    <col min="8202" max="8449" width="9" style="2"/>
    <col min="8450" max="8453" width="15.42578125" style="2" customWidth="1"/>
    <col min="8454" max="8454" width="14" style="2" customWidth="1"/>
    <col min="8455" max="8455" width="12.42578125" style="2" customWidth="1"/>
    <col min="8456" max="8456" width="12.28515625" style="2" customWidth="1"/>
    <col min="8457" max="8457" width="12.140625" style="2" customWidth="1"/>
    <col min="8458" max="8705" width="9" style="2"/>
    <col min="8706" max="8709" width="15.42578125" style="2" customWidth="1"/>
    <col min="8710" max="8710" width="14" style="2" customWidth="1"/>
    <col min="8711" max="8711" width="12.42578125" style="2" customWidth="1"/>
    <col min="8712" max="8712" width="12.28515625" style="2" customWidth="1"/>
    <col min="8713" max="8713" width="12.140625" style="2" customWidth="1"/>
    <col min="8714" max="8961" width="9" style="2"/>
    <col min="8962" max="8965" width="15.42578125" style="2" customWidth="1"/>
    <col min="8966" max="8966" width="14" style="2" customWidth="1"/>
    <col min="8967" max="8967" width="12.42578125" style="2" customWidth="1"/>
    <col min="8968" max="8968" width="12.28515625" style="2" customWidth="1"/>
    <col min="8969" max="8969" width="12.140625" style="2" customWidth="1"/>
    <col min="8970" max="9217" width="9" style="2"/>
    <col min="9218" max="9221" width="15.42578125" style="2" customWidth="1"/>
    <col min="9222" max="9222" width="14" style="2" customWidth="1"/>
    <col min="9223" max="9223" width="12.42578125" style="2" customWidth="1"/>
    <col min="9224" max="9224" width="12.28515625" style="2" customWidth="1"/>
    <col min="9225" max="9225" width="12.140625" style="2" customWidth="1"/>
    <col min="9226" max="9473" width="9" style="2"/>
    <col min="9474" max="9477" width="15.42578125" style="2" customWidth="1"/>
    <col min="9478" max="9478" width="14" style="2" customWidth="1"/>
    <col min="9479" max="9479" width="12.42578125" style="2" customWidth="1"/>
    <col min="9480" max="9480" width="12.28515625" style="2" customWidth="1"/>
    <col min="9481" max="9481" width="12.140625" style="2" customWidth="1"/>
    <col min="9482" max="9729" width="9" style="2"/>
    <col min="9730" max="9733" width="15.42578125" style="2" customWidth="1"/>
    <col min="9734" max="9734" width="14" style="2" customWidth="1"/>
    <col min="9735" max="9735" width="12.42578125" style="2" customWidth="1"/>
    <col min="9736" max="9736" width="12.28515625" style="2" customWidth="1"/>
    <col min="9737" max="9737" width="12.140625" style="2" customWidth="1"/>
    <col min="9738" max="9985" width="9" style="2"/>
    <col min="9986" max="9989" width="15.42578125" style="2" customWidth="1"/>
    <col min="9990" max="9990" width="14" style="2" customWidth="1"/>
    <col min="9991" max="9991" width="12.42578125" style="2" customWidth="1"/>
    <col min="9992" max="9992" width="12.28515625" style="2" customWidth="1"/>
    <col min="9993" max="9993" width="12.140625" style="2" customWidth="1"/>
    <col min="9994" max="10241" width="9" style="2"/>
    <col min="10242" max="10245" width="15.42578125" style="2" customWidth="1"/>
    <col min="10246" max="10246" width="14" style="2" customWidth="1"/>
    <col min="10247" max="10247" width="12.42578125" style="2" customWidth="1"/>
    <col min="10248" max="10248" width="12.28515625" style="2" customWidth="1"/>
    <col min="10249" max="10249" width="12.140625" style="2" customWidth="1"/>
    <col min="10250" max="10497" width="9" style="2"/>
    <col min="10498" max="10501" width="15.42578125" style="2" customWidth="1"/>
    <col min="10502" max="10502" width="14" style="2" customWidth="1"/>
    <col min="10503" max="10503" width="12.42578125" style="2" customWidth="1"/>
    <col min="10504" max="10504" width="12.28515625" style="2" customWidth="1"/>
    <col min="10505" max="10505" width="12.140625" style="2" customWidth="1"/>
    <col min="10506" max="10753" width="9" style="2"/>
    <col min="10754" max="10757" width="15.42578125" style="2" customWidth="1"/>
    <col min="10758" max="10758" width="14" style="2" customWidth="1"/>
    <col min="10759" max="10759" width="12.42578125" style="2" customWidth="1"/>
    <col min="10760" max="10760" width="12.28515625" style="2" customWidth="1"/>
    <col min="10761" max="10761" width="12.140625" style="2" customWidth="1"/>
    <col min="10762" max="11009" width="9" style="2"/>
    <col min="11010" max="11013" width="15.42578125" style="2" customWidth="1"/>
    <col min="11014" max="11014" width="14" style="2" customWidth="1"/>
    <col min="11015" max="11015" width="12.42578125" style="2" customWidth="1"/>
    <col min="11016" max="11016" width="12.28515625" style="2" customWidth="1"/>
    <col min="11017" max="11017" width="12.140625" style="2" customWidth="1"/>
    <col min="11018" max="11265" width="9" style="2"/>
    <col min="11266" max="11269" width="15.42578125" style="2" customWidth="1"/>
    <col min="11270" max="11270" width="14" style="2" customWidth="1"/>
    <col min="11271" max="11271" width="12.42578125" style="2" customWidth="1"/>
    <col min="11272" max="11272" width="12.28515625" style="2" customWidth="1"/>
    <col min="11273" max="11273" width="12.140625" style="2" customWidth="1"/>
    <col min="11274" max="11521" width="9" style="2"/>
    <col min="11522" max="11525" width="15.42578125" style="2" customWidth="1"/>
    <col min="11526" max="11526" width="14" style="2" customWidth="1"/>
    <col min="11527" max="11527" width="12.42578125" style="2" customWidth="1"/>
    <col min="11528" max="11528" width="12.28515625" style="2" customWidth="1"/>
    <col min="11529" max="11529" width="12.140625" style="2" customWidth="1"/>
    <col min="11530" max="11777" width="9" style="2"/>
    <col min="11778" max="11781" width="15.42578125" style="2" customWidth="1"/>
    <col min="11782" max="11782" width="14" style="2" customWidth="1"/>
    <col min="11783" max="11783" width="12.42578125" style="2" customWidth="1"/>
    <col min="11784" max="11784" width="12.28515625" style="2" customWidth="1"/>
    <col min="11785" max="11785" width="12.140625" style="2" customWidth="1"/>
    <col min="11786" max="12033" width="9" style="2"/>
    <col min="12034" max="12037" width="15.42578125" style="2" customWidth="1"/>
    <col min="12038" max="12038" width="14" style="2" customWidth="1"/>
    <col min="12039" max="12039" width="12.42578125" style="2" customWidth="1"/>
    <col min="12040" max="12040" width="12.28515625" style="2" customWidth="1"/>
    <col min="12041" max="12041" width="12.140625" style="2" customWidth="1"/>
    <col min="12042" max="12289" width="9" style="2"/>
    <col min="12290" max="12293" width="15.42578125" style="2" customWidth="1"/>
    <col min="12294" max="12294" width="14" style="2" customWidth="1"/>
    <col min="12295" max="12295" width="12.42578125" style="2" customWidth="1"/>
    <col min="12296" max="12296" width="12.28515625" style="2" customWidth="1"/>
    <col min="12297" max="12297" width="12.140625" style="2" customWidth="1"/>
    <col min="12298" max="12545" width="9" style="2"/>
    <col min="12546" max="12549" width="15.42578125" style="2" customWidth="1"/>
    <col min="12550" max="12550" width="14" style="2" customWidth="1"/>
    <col min="12551" max="12551" width="12.42578125" style="2" customWidth="1"/>
    <col min="12552" max="12552" width="12.28515625" style="2" customWidth="1"/>
    <col min="12553" max="12553" width="12.140625" style="2" customWidth="1"/>
    <col min="12554" max="12801" width="9" style="2"/>
    <col min="12802" max="12805" width="15.42578125" style="2" customWidth="1"/>
    <col min="12806" max="12806" width="14" style="2" customWidth="1"/>
    <col min="12807" max="12807" width="12.42578125" style="2" customWidth="1"/>
    <col min="12808" max="12808" width="12.28515625" style="2" customWidth="1"/>
    <col min="12809" max="12809" width="12.140625" style="2" customWidth="1"/>
    <col min="12810" max="13057" width="9" style="2"/>
    <col min="13058" max="13061" width="15.42578125" style="2" customWidth="1"/>
    <col min="13062" max="13062" width="14" style="2" customWidth="1"/>
    <col min="13063" max="13063" width="12.42578125" style="2" customWidth="1"/>
    <col min="13064" max="13064" width="12.28515625" style="2" customWidth="1"/>
    <col min="13065" max="13065" width="12.140625" style="2" customWidth="1"/>
    <col min="13066" max="13313" width="9" style="2"/>
    <col min="13314" max="13317" width="15.42578125" style="2" customWidth="1"/>
    <col min="13318" max="13318" width="14" style="2" customWidth="1"/>
    <col min="13319" max="13319" width="12.42578125" style="2" customWidth="1"/>
    <col min="13320" max="13320" width="12.28515625" style="2" customWidth="1"/>
    <col min="13321" max="13321" width="12.140625" style="2" customWidth="1"/>
    <col min="13322" max="13569" width="9" style="2"/>
    <col min="13570" max="13573" width="15.42578125" style="2" customWidth="1"/>
    <col min="13574" max="13574" width="14" style="2" customWidth="1"/>
    <col min="13575" max="13575" width="12.42578125" style="2" customWidth="1"/>
    <col min="13576" max="13576" width="12.28515625" style="2" customWidth="1"/>
    <col min="13577" max="13577" width="12.140625" style="2" customWidth="1"/>
    <col min="13578" max="13825" width="9" style="2"/>
    <col min="13826" max="13829" width="15.42578125" style="2" customWidth="1"/>
    <col min="13830" max="13830" width="14" style="2" customWidth="1"/>
    <col min="13831" max="13831" width="12.42578125" style="2" customWidth="1"/>
    <col min="13832" max="13832" width="12.28515625" style="2" customWidth="1"/>
    <col min="13833" max="13833" width="12.140625" style="2" customWidth="1"/>
    <col min="13834" max="14081" width="9" style="2"/>
    <col min="14082" max="14085" width="15.42578125" style="2" customWidth="1"/>
    <col min="14086" max="14086" width="14" style="2" customWidth="1"/>
    <col min="14087" max="14087" width="12.42578125" style="2" customWidth="1"/>
    <col min="14088" max="14088" width="12.28515625" style="2" customWidth="1"/>
    <col min="14089" max="14089" width="12.140625" style="2" customWidth="1"/>
    <col min="14090" max="14337" width="9" style="2"/>
    <col min="14338" max="14341" width="15.42578125" style="2" customWidth="1"/>
    <col min="14342" max="14342" width="14" style="2" customWidth="1"/>
    <col min="14343" max="14343" width="12.42578125" style="2" customWidth="1"/>
    <col min="14344" max="14344" width="12.28515625" style="2" customWidth="1"/>
    <col min="14345" max="14345" width="12.140625" style="2" customWidth="1"/>
    <col min="14346" max="14593" width="9" style="2"/>
    <col min="14594" max="14597" width="15.42578125" style="2" customWidth="1"/>
    <col min="14598" max="14598" width="14" style="2" customWidth="1"/>
    <col min="14599" max="14599" width="12.42578125" style="2" customWidth="1"/>
    <col min="14600" max="14600" width="12.28515625" style="2" customWidth="1"/>
    <col min="14601" max="14601" width="12.140625" style="2" customWidth="1"/>
    <col min="14602" max="14849" width="9" style="2"/>
    <col min="14850" max="14853" width="15.42578125" style="2" customWidth="1"/>
    <col min="14854" max="14854" width="14" style="2" customWidth="1"/>
    <col min="14855" max="14855" width="12.42578125" style="2" customWidth="1"/>
    <col min="14856" max="14856" width="12.28515625" style="2" customWidth="1"/>
    <col min="14857" max="14857" width="12.140625" style="2" customWidth="1"/>
    <col min="14858" max="15105" width="9" style="2"/>
    <col min="15106" max="15109" width="15.42578125" style="2" customWidth="1"/>
    <col min="15110" max="15110" width="14" style="2" customWidth="1"/>
    <col min="15111" max="15111" width="12.42578125" style="2" customWidth="1"/>
    <col min="15112" max="15112" width="12.28515625" style="2" customWidth="1"/>
    <col min="15113" max="15113" width="12.140625" style="2" customWidth="1"/>
    <col min="15114" max="15361" width="9" style="2"/>
    <col min="15362" max="15365" width="15.42578125" style="2" customWidth="1"/>
    <col min="15366" max="15366" width="14" style="2" customWidth="1"/>
    <col min="15367" max="15367" width="12.42578125" style="2" customWidth="1"/>
    <col min="15368" max="15368" width="12.28515625" style="2" customWidth="1"/>
    <col min="15369" max="15369" width="12.140625" style="2" customWidth="1"/>
    <col min="15370" max="15617" width="9" style="2"/>
    <col min="15618" max="15621" width="15.42578125" style="2" customWidth="1"/>
    <col min="15622" max="15622" width="14" style="2" customWidth="1"/>
    <col min="15623" max="15623" width="12.42578125" style="2" customWidth="1"/>
    <col min="15624" max="15624" width="12.28515625" style="2" customWidth="1"/>
    <col min="15625" max="15625" width="12.140625" style="2" customWidth="1"/>
    <col min="15626" max="15873" width="9" style="2"/>
    <col min="15874" max="15877" width="15.42578125" style="2" customWidth="1"/>
    <col min="15878" max="15878" width="14" style="2" customWidth="1"/>
    <col min="15879" max="15879" width="12.42578125" style="2" customWidth="1"/>
    <col min="15880" max="15880" width="12.28515625" style="2" customWidth="1"/>
    <col min="15881" max="15881" width="12.140625" style="2" customWidth="1"/>
    <col min="15882" max="16129" width="9" style="2"/>
    <col min="16130" max="16133" width="15.42578125" style="2" customWidth="1"/>
    <col min="16134" max="16134" width="14" style="2" customWidth="1"/>
    <col min="16135" max="16135" width="12.42578125" style="2" customWidth="1"/>
    <col min="16136" max="16136" width="12.28515625" style="2" customWidth="1"/>
    <col min="16137" max="16137" width="12.140625" style="2" customWidth="1"/>
    <col min="16138" max="16384" width="9" style="2"/>
  </cols>
  <sheetData>
    <row r="1" spans="1:7">
      <c r="A1" s="3" t="s">
        <v>63</v>
      </c>
    </row>
    <row r="2" spans="1:7">
      <c r="A2" s="59" t="s">
        <v>17</v>
      </c>
      <c r="B2" s="61" t="s">
        <v>0</v>
      </c>
      <c r="C2" s="62"/>
      <c r="D2" s="59" t="s">
        <v>31</v>
      </c>
      <c r="E2" s="59" t="s">
        <v>18</v>
      </c>
      <c r="F2" s="59" t="s">
        <v>19</v>
      </c>
    </row>
    <row r="3" spans="1:7" s="2" customFormat="1">
      <c r="A3" s="60"/>
      <c r="B3" s="4" t="s">
        <v>28</v>
      </c>
      <c r="C3" s="4" t="s">
        <v>30</v>
      </c>
      <c r="D3" s="60"/>
      <c r="E3" s="60"/>
      <c r="F3" s="60"/>
    </row>
    <row r="4" spans="1:7">
      <c r="A4" s="56">
        <v>1</v>
      </c>
      <c r="B4" s="5">
        <f>JULI!C5/1000</f>
        <v>5804.55</v>
      </c>
      <c r="C4" s="5">
        <f>(JULI!C10+JULI!C11)/1000</f>
        <v>729.74400000000003</v>
      </c>
      <c r="D4" s="5">
        <f t="shared" ref="D4:D27" si="0">B4+C4</f>
        <v>6534.2939999999999</v>
      </c>
      <c r="E4" s="6">
        <v>6760</v>
      </c>
      <c r="F4" s="7">
        <f>D4/E4</f>
        <v>0.96661153846153847</v>
      </c>
    </row>
    <row r="5" spans="1:7">
      <c r="A5" s="56">
        <v>2</v>
      </c>
      <c r="B5" s="5">
        <f>JULI!D5/1000</f>
        <v>5818.22</v>
      </c>
      <c r="C5" s="5">
        <f>(JULI!D10+JULI!D11)/1000</f>
        <v>752.74699999999996</v>
      </c>
      <c r="D5" s="5">
        <f t="shared" si="0"/>
        <v>6570.9670000000006</v>
      </c>
      <c r="E5" s="6">
        <v>6760</v>
      </c>
      <c r="F5" s="7">
        <f t="shared" ref="F5:F27" si="1">D5/E5</f>
        <v>0.97203653846153859</v>
      </c>
      <c r="G5" s="43"/>
    </row>
    <row r="6" spans="1:7">
      <c r="A6" s="56">
        <v>3</v>
      </c>
      <c r="B6" s="5">
        <f>JULI!E5/1000</f>
        <v>6038.085</v>
      </c>
      <c r="C6" s="5">
        <f>(JULI!E10+JULI!E11)/1000</f>
        <v>571.18499999999995</v>
      </c>
      <c r="D6" s="5">
        <f t="shared" si="0"/>
        <v>6609.27</v>
      </c>
      <c r="E6" s="6">
        <v>6760</v>
      </c>
      <c r="F6" s="7">
        <f t="shared" si="1"/>
        <v>0.97770266272189355</v>
      </c>
    </row>
    <row r="7" spans="1:7">
      <c r="A7" s="56">
        <v>4</v>
      </c>
      <c r="B7" s="5">
        <f>JULI!F5/1000</f>
        <v>5834.3149999999996</v>
      </c>
      <c r="C7" s="5">
        <f>(JULI!F10+JULI!F11)/1000</f>
        <v>760.21299999999997</v>
      </c>
      <c r="D7" s="5">
        <f t="shared" si="0"/>
        <v>6594.5279999999993</v>
      </c>
      <c r="E7" s="6">
        <v>6760</v>
      </c>
      <c r="F7" s="7">
        <f t="shared" si="1"/>
        <v>0.97552189349112417</v>
      </c>
    </row>
    <row r="8" spans="1:7">
      <c r="A8" s="56">
        <v>6</v>
      </c>
      <c r="B8" s="5">
        <f>JULI!G5/1000</f>
        <v>5979.93</v>
      </c>
      <c r="C8" s="5">
        <f>(JULI!G10+JULI!G11)/1000</f>
        <v>724.02099999999996</v>
      </c>
      <c r="D8" s="5">
        <f t="shared" si="0"/>
        <v>6703.951</v>
      </c>
      <c r="E8" s="6">
        <v>6760</v>
      </c>
      <c r="F8" s="7">
        <f t="shared" si="1"/>
        <v>0.99170872781065089</v>
      </c>
    </row>
    <row r="9" spans="1:7">
      <c r="A9" s="56">
        <v>7</v>
      </c>
      <c r="B9" s="5">
        <f>JULI!H5/1000</f>
        <v>6001.9279999999999</v>
      </c>
      <c r="C9" s="5">
        <f>(JULI!H10+JULI!H11)/1000</f>
        <v>756.43299999999999</v>
      </c>
      <c r="D9" s="5">
        <f t="shared" si="0"/>
        <v>6758.3609999999999</v>
      </c>
      <c r="E9" s="6">
        <v>6760</v>
      </c>
      <c r="F9" s="7">
        <f t="shared" si="1"/>
        <v>0.99975754437869824</v>
      </c>
    </row>
    <row r="10" spans="1:7">
      <c r="A10" s="56">
        <v>8</v>
      </c>
      <c r="B10" s="5">
        <f>JULI!I5/1000</f>
        <v>6105.6930000000002</v>
      </c>
      <c r="C10" s="5">
        <f>(JULI!I10+JULI!I11)/1000</f>
        <v>799.03300000000002</v>
      </c>
      <c r="D10" s="5">
        <f t="shared" si="0"/>
        <v>6904.7260000000006</v>
      </c>
      <c r="E10" s="6">
        <v>6760</v>
      </c>
      <c r="F10" s="7">
        <f t="shared" si="1"/>
        <v>1.0214091715976332</v>
      </c>
    </row>
    <row r="11" spans="1:7">
      <c r="A11" s="56">
        <v>9</v>
      </c>
      <c r="B11" s="5">
        <f>JULI!J5/1000</f>
        <v>6472.933</v>
      </c>
      <c r="C11" s="5">
        <f>(JULI!J10+JULI!J11)/1000</f>
        <v>709.36800000000005</v>
      </c>
      <c r="D11" s="5">
        <f t="shared" si="0"/>
        <v>7182.3010000000004</v>
      </c>
      <c r="E11" s="6">
        <v>6760</v>
      </c>
      <c r="F11" s="7">
        <f t="shared" si="1"/>
        <v>1.0624705621301775</v>
      </c>
    </row>
    <row r="12" spans="1:7">
      <c r="A12" s="56">
        <v>10</v>
      </c>
      <c r="B12" s="5">
        <f>JULI!K5/1000</f>
        <v>8077.1940000000004</v>
      </c>
      <c r="C12" s="5">
        <f>(JULI!K10+JULI!K11)/1000</f>
        <v>781.798</v>
      </c>
      <c r="D12" s="5">
        <f t="shared" si="0"/>
        <v>8858.9920000000002</v>
      </c>
      <c r="E12" s="6">
        <v>6760</v>
      </c>
      <c r="F12" s="7">
        <f t="shared" si="1"/>
        <v>1.3105017751479291</v>
      </c>
    </row>
    <row r="13" spans="1:7">
      <c r="A13" s="56">
        <v>11</v>
      </c>
      <c r="B13" s="5">
        <f>JULI!L5/1000</f>
        <v>7884.5640000000003</v>
      </c>
      <c r="C13" s="5">
        <f>(JULI!L10+JULI!L11)/1000</f>
        <v>836.95799999999997</v>
      </c>
      <c r="D13" s="5">
        <f t="shared" si="0"/>
        <v>8721.5220000000008</v>
      </c>
      <c r="E13" s="6">
        <v>6760</v>
      </c>
      <c r="F13" s="7">
        <f t="shared" si="1"/>
        <v>1.2901659763313611</v>
      </c>
    </row>
    <row r="14" spans="1:7">
      <c r="A14" s="56">
        <v>13</v>
      </c>
      <c r="B14" s="5">
        <f>JULI!M5/1000</f>
        <v>7449.5240000000003</v>
      </c>
      <c r="C14" s="5">
        <f>(JULI!M10+JULI!M11)/1000</f>
        <v>1047.6479999999999</v>
      </c>
      <c r="D14" s="5">
        <f t="shared" si="0"/>
        <v>8497.1720000000005</v>
      </c>
      <c r="E14" s="6">
        <v>6760</v>
      </c>
      <c r="F14" s="7">
        <f t="shared" si="1"/>
        <v>1.2569781065088759</v>
      </c>
    </row>
    <row r="15" spans="1:7">
      <c r="A15" s="56">
        <v>14</v>
      </c>
      <c r="B15" s="5">
        <f>JULI!N5/1000</f>
        <v>8212.06</v>
      </c>
      <c r="C15" s="5">
        <f>(JULI!N10+JULI!N11)/1000</f>
        <v>891.87300000000005</v>
      </c>
      <c r="D15" s="5">
        <f t="shared" si="0"/>
        <v>9103.9329999999991</v>
      </c>
      <c r="E15" s="6">
        <v>6760</v>
      </c>
      <c r="F15" s="7">
        <f t="shared" si="1"/>
        <v>1.3467356508875739</v>
      </c>
    </row>
    <row r="16" spans="1:7">
      <c r="A16" s="56">
        <v>15</v>
      </c>
      <c r="B16" s="5">
        <f>JULI!O5/1000</f>
        <v>8377.3950000000004</v>
      </c>
      <c r="C16" s="5">
        <f>(JULI!O10+JULI!O11)/1000</f>
        <v>1153.9259999999999</v>
      </c>
      <c r="D16" s="5">
        <f t="shared" si="0"/>
        <v>9531.3209999999999</v>
      </c>
      <c r="E16" s="6">
        <v>6760</v>
      </c>
      <c r="F16" s="7">
        <f t="shared" si="1"/>
        <v>1.4099587278106509</v>
      </c>
    </row>
    <row r="17" spans="1:19">
      <c r="A17" s="56">
        <v>16</v>
      </c>
      <c r="B17" s="5">
        <f>JULI!P5/1000</f>
        <v>8297.16</v>
      </c>
      <c r="C17" s="5">
        <f>(JULI!P10+JULI!P11)/1000</f>
        <v>802.27800000000002</v>
      </c>
      <c r="D17" s="5">
        <f t="shared" si="0"/>
        <v>9099.4380000000001</v>
      </c>
      <c r="E17" s="6">
        <v>6760</v>
      </c>
      <c r="F17" s="7">
        <f t="shared" si="1"/>
        <v>1.3460707100591716</v>
      </c>
    </row>
    <row r="18" spans="1:19">
      <c r="A18" s="56">
        <v>17</v>
      </c>
      <c r="B18" s="5">
        <f>JULI!Q5/1000</f>
        <v>7904.26</v>
      </c>
      <c r="C18" s="5">
        <f>(JULI!Q10+JULI!Q11)/1000</f>
        <v>766.32799999999997</v>
      </c>
      <c r="D18" s="5">
        <f t="shared" si="0"/>
        <v>8670.5879999999997</v>
      </c>
      <c r="E18" s="6">
        <v>6760</v>
      </c>
      <c r="F18" s="7">
        <f t="shared" si="1"/>
        <v>1.2826313609467455</v>
      </c>
    </row>
    <row r="19" spans="1:19" ht="15.75">
      <c r="A19" s="56">
        <v>18</v>
      </c>
      <c r="B19" s="5">
        <f>JULI!R5/1000</f>
        <v>8197.4599999999991</v>
      </c>
      <c r="C19" s="5">
        <f>(JULI!R10+JULI!R11)/1000</f>
        <v>814.678</v>
      </c>
      <c r="D19" s="5">
        <f t="shared" si="0"/>
        <v>9012.137999999999</v>
      </c>
      <c r="E19" s="6">
        <v>6760</v>
      </c>
      <c r="F19" s="7">
        <f t="shared" si="1"/>
        <v>1.3331565088757396</v>
      </c>
      <c r="H19" s="8" t="s">
        <v>20</v>
      </c>
    </row>
    <row r="20" spans="1:19" ht="15.75">
      <c r="A20" s="56">
        <v>20</v>
      </c>
      <c r="B20" s="5">
        <f>JULI!S5/1000</f>
        <v>8162.96</v>
      </c>
      <c r="C20" s="5">
        <f>(JULI!S10+JULI!S11)/1000</f>
        <v>748.82299999999998</v>
      </c>
      <c r="D20" s="5">
        <f t="shared" si="0"/>
        <v>8911.7829999999994</v>
      </c>
      <c r="E20" s="6">
        <v>6760</v>
      </c>
      <c r="F20" s="7">
        <f t="shared" si="1"/>
        <v>1.3183110946745562</v>
      </c>
      <c r="H20" s="8" t="s">
        <v>24</v>
      </c>
      <c r="J20" s="39">
        <v>6760</v>
      </c>
      <c r="K20" s="41" t="s">
        <v>25</v>
      </c>
    </row>
    <row r="21" spans="1:19" ht="15.75">
      <c r="A21" s="56">
        <v>21</v>
      </c>
      <c r="B21" s="5">
        <f>JULI!T5/1000</f>
        <v>7751.8950000000004</v>
      </c>
      <c r="C21" s="5">
        <f>(JULI!T10+JULI!T11)/1000</f>
        <v>793.95799999999997</v>
      </c>
      <c r="D21" s="5">
        <f t="shared" si="0"/>
        <v>8545.853000000001</v>
      </c>
      <c r="E21" s="6">
        <v>6760</v>
      </c>
      <c r="F21" s="7">
        <f t="shared" si="1"/>
        <v>1.2641794378698226</v>
      </c>
      <c r="H21" s="58" t="s">
        <v>61</v>
      </c>
      <c r="I21" s="58"/>
      <c r="J21" s="9">
        <v>7259</v>
      </c>
      <c r="K21" s="8" t="s">
        <v>25</v>
      </c>
    </row>
    <row r="22" spans="1:19" ht="15.75">
      <c r="A22" s="56">
        <v>22</v>
      </c>
      <c r="B22" s="5">
        <f>JULI!U5/1000</f>
        <v>7586.99</v>
      </c>
      <c r="C22" s="5">
        <f>(JULI!U10+JULI!U11)/1000</f>
        <v>895.17100000000005</v>
      </c>
      <c r="D22" s="5">
        <f t="shared" si="0"/>
        <v>8482.1610000000001</v>
      </c>
      <c r="E22" s="6">
        <v>6760</v>
      </c>
      <c r="F22" s="7">
        <f t="shared" si="1"/>
        <v>1.2547575443786982</v>
      </c>
      <c r="H22" s="8" t="s">
        <v>26</v>
      </c>
      <c r="J22" s="40">
        <f>J21/J20</f>
        <v>1.0738165680473373</v>
      </c>
      <c r="K22" s="8" t="s">
        <v>25</v>
      </c>
    </row>
    <row r="23" spans="1:19" s="1" customFormat="1">
      <c r="A23" s="56">
        <v>23</v>
      </c>
      <c r="B23" s="5"/>
      <c r="C23" s="5"/>
      <c r="D23" s="5">
        <f t="shared" si="0"/>
        <v>0</v>
      </c>
      <c r="E23" s="6">
        <v>6760</v>
      </c>
      <c r="F23" s="7">
        <f t="shared" si="1"/>
        <v>0</v>
      </c>
      <c r="H23" s="41" t="s">
        <v>27</v>
      </c>
      <c r="I23" s="41"/>
      <c r="J23" s="42">
        <f>100%-J22</f>
        <v>-7.3816568047337272E-2</v>
      </c>
      <c r="K23" s="41" t="s">
        <v>25</v>
      </c>
    </row>
    <row r="24" spans="1:19" s="1" customFormat="1">
      <c r="A24" s="56">
        <v>24</v>
      </c>
      <c r="B24" s="5"/>
      <c r="C24" s="5"/>
      <c r="D24" s="5">
        <f t="shared" si="0"/>
        <v>0</v>
      </c>
      <c r="E24" s="6">
        <v>6760</v>
      </c>
      <c r="F24" s="7">
        <f t="shared" si="1"/>
        <v>0</v>
      </c>
    </row>
    <row r="25" spans="1:19" s="1" customFormat="1">
      <c r="A25" s="56">
        <v>25</v>
      </c>
      <c r="B25" s="5"/>
      <c r="C25" s="5"/>
      <c r="D25" s="5">
        <f t="shared" si="0"/>
        <v>0</v>
      </c>
      <c r="E25" s="6">
        <v>6760</v>
      </c>
      <c r="F25" s="7">
        <f t="shared" si="1"/>
        <v>0</v>
      </c>
    </row>
    <row r="26" spans="1:19" s="1" customFormat="1">
      <c r="A26" s="56">
        <v>27</v>
      </c>
      <c r="B26" s="5"/>
      <c r="C26" s="5"/>
      <c r="D26" s="5">
        <f t="shared" si="0"/>
        <v>0</v>
      </c>
      <c r="E26" s="6">
        <v>6760</v>
      </c>
      <c r="F26" s="7">
        <f t="shared" si="1"/>
        <v>0</v>
      </c>
    </row>
    <row r="27" spans="1:19" s="1" customFormat="1">
      <c r="A27" s="56">
        <v>28</v>
      </c>
      <c r="B27" s="5"/>
      <c r="C27" s="5"/>
      <c r="D27" s="5">
        <f t="shared" si="0"/>
        <v>0</v>
      </c>
      <c r="E27" s="6">
        <v>6760</v>
      </c>
      <c r="F27" s="7">
        <f t="shared" si="1"/>
        <v>0</v>
      </c>
    </row>
    <row r="28" spans="1:19" s="1" customFormat="1">
      <c r="A28" s="56">
        <v>29</v>
      </c>
      <c r="B28" s="5"/>
      <c r="C28" s="5"/>
      <c r="D28" s="5">
        <f t="shared" ref="D28:D30" si="2">B28+C28</f>
        <v>0</v>
      </c>
      <c r="E28" s="6">
        <v>6760</v>
      </c>
      <c r="F28" s="7">
        <f t="shared" ref="F28:F30" si="3">D28/E28</f>
        <v>0</v>
      </c>
    </row>
    <row r="29" spans="1:19" s="1" customFormat="1">
      <c r="A29" s="56">
        <v>30</v>
      </c>
      <c r="B29" s="5"/>
      <c r="C29" s="5"/>
      <c r="D29" s="5">
        <f t="shared" si="2"/>
        <v>0</v>
      </c>
      <c r="E29" s="6">
        <v>6760</v>
      </c>
      <c r="F29" s="7">
        <f t="shared" si="3"/>
        <v>0</v>
      </c>
    </row>
    <row r="30" spans="1:19" s="1" customFormat="1">
      <c r="A30" s="56">
        <v>31</v>
      </c>
      <c r="B30" s="5"/>
      <c r="C30" s="5"/>
      <c r="D30" s="5">
        <f t="shared" si="2"/>
        <v>0</v>
      </c>
      <c r="E30" s="6">
        <v>6760</v>
      </c>
      <c r="F30" s="7">
        <f t="shared" si="3"/>
        <v>0</v>
      </c>
    </row>
    <row r="31" spans="1:19" s="1" customFormat="1">
      <c r="A31" s="10" t="s">
        <v>1</v>
      </c>
      <c r="B31" s="11">
        <f>AVERAGE(B4:B30)</f>
        <v>7155.6376842105265</v>
      </c>
      <c r="C31" s="11">
        <f>AVERAGE(C4:C30)</f>
        <v>807.16752631578947</v>
      </c>
      <c r="D31" s="11">
        <f>AVERAGE(D4:D30)</f>
        <v>5603.4555185185181</v>
      </c>
      <c r="E31" s="11">
        <f>AVERAGE(E4:E30)</f>
        <v>6760</v>
      </c>
      <c r="F31" s="12">
        <f>AVERAGE(F4:F30)</f>
        <v>0.82891353824238434</v>
      </c>
    </row>
    <row r="32" spans="1:19">
      <c r="A32" s="13" t="s">
        <v>21</v>
      </c>
      <c r="B32" s="14">
        <f>MAX(B4:B26)</f>
        <v>8377.3950000000004</v>
      </c>
      <c r="C32" s="14">
        <f>MAX(C4:C26)</f>
        <v>1153.9259999999999</v>
      </c>
      <c r="D32" s="14">
        <f>MAX(D4:D26)</f>
        <v>9531.3209999999999</v>
      </c>
      <c r="E32" s="15">
        <v>6760</v>
      </c>
      <c r="F32" s="16">
        <f>D32/E32</f>
        <v>1.4099587278106509</v>
      </c>
      <c r="Q32" s="2"/>
      <c r="R32" s="2"/>
      <c r="S32" s="2"/>
    </row>
    <row r="33" spans="1:16" s="1" customFormat="1">
      <c r="A33" s="17"/>
      <c r="B33" s="18"/>
      <c r="C33" s="18"/>
      <c r="D33" s="18"/>
      <c r="E33" s="19"/>
      <c r="F33" s="20"/>
    </row>
    <row r="34" spans="1:16" s="1" customFormat="1">
      <c r="A34" s="17"/>
      <c r="B34" s="18"/>
      <c r="C34" s="18"/>
      <c r="D34" s="18"/>
      <c r="E34" s="19"/>
      <c r="F34" s="20"/>
    </row>
    <row r="35" spans="1:16" s="1" customFormat="1">
      <c r="A35" s="21" t="s">
        <v>64</v>
      </c>
      <c r="B35" s="2"/>
      <c r="C35" s="2"/>
      <c r="D35" s="2"/>
      <c r="E35" s="2"/>
      <c r="F35" s="2"/>
    </row>
    <row r="36" spans="1:16" s="1" customFormat="1">
      <c r="A36" s="63" t="s">
        <v>17</v>
      </c>
      <c r="B36" s="65" t="s">
        <v>0</v>
      </c>
      <c r="C36" s="66"/>
      <c r="D36" s="63" t="s">
        <v>31</v>
      </c>
      <c r="E36" s="63" t="s">
        <v>18</v>
      </c>
      <c r="F36" s="63" t="s">
        <v>19</v>
      </c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s="1" customFormat="1">
      <c r="A37" s="64"/>
      <c r="B37" s="22" t="s">
        <v>28</v>
      </c>
      <c r="C37" s="22" t="s">
        <v>30</v>
      </c>
      <c r="D37" s="64"/>
      <c r="E37" s="64"/>
      <c r="F37" s="64"/>
      <c r="H37" s="2"/>
      <c r="J37" s="2"/>
      <c r="K37" s="2"/>
    </row>
    <row r="38" spans="1:16" s="1" customFormat="1">
      <c r="A38" s="56">
        <v>1</v>
      </c>
      <c r="B38" s="48">
        <f>(JULI!C12+JULI!C13+JULI!C14+JULI!C15+JULI!C16+JULI!C17+JULI!C18+JULI!C19+JULI!C20+JULI!C23)/1000</f>
        <v>10888.099</v>
      </c>
      <c r="C38" s="36">
        <f>(JULI!C21+JULI!C22)/1000</f>
        <v>726.47500000000002</v>
      </c>
      <c r="D38" s="36">
        <f t="shared" ref="D38:D61" si="4">B38+C38</f>
        <v>11614.574000000001</v>
      </c>
      <c r="E38" s="37">
        <v>12000</v>
      </c>
      <c r="F38" s="38">
        <f>D38/E38</f>
        <v>0.96788116666666668</v>
      </c>
      <c r="H38" s="2"/>
      <c r="J38" s="2"/>
      <c r="K38" s="2"/>
    </row>
    <row r="39" spans="1:16" s="1" customFormat="1">
      <c r="A39" s="56">
        <v>2</v>
      </c>
      <c r="B39" s="48">
        <f>(JULI!D12+JULI!D13+JULI!D14+JULI!D15+JULI!D16+JULI!D17+JULI!D18+JULI!D19+JULI!D20+JULI!D23)/1000</f>
        <v>10492.567999999999</v>
      </c>
      <c r="C39" s="36">
        <f>(JULI!D21+JULI!D22)/1000</f>
        <v>500.75299999999999</v>
      </c>
      <c r="D39" s="36">
        <f t="shared" si="4"/>
        <v>10993.321</v>
      </c>
      <c r="E39" s="37">
        <v>12000</v>
      </c>
      <c r="F39" s="38">
        <f t="shared" ref="F39:F61" si="5">D39/E39</f>
        <v>0.91611008333333332</v>
      </c>
    </row>
    <row r="40" spans="1:16" s="1" customFormat="1">
      <c r="A40" s="56">
        <v>3</v>
      </c>
      <c r="B40" s="48">
        <f>(JULI!E12+JULI!E13+JULI!E14+JULI!E15+JULI!E16+JULI!E17+JULI!E18+JULI!E19+JULI!E20+JULI!E23)/1000</f>
        <v>10205.846</v>
      </c>
      <c r="C40" s="36">
        <f>(JULI!E21+JULI!E22)/1000</f>
        <v>470.59899999999999</v>
      </c>
      <c r="D40" s="36">
        <f t="shared" si="4"/>
        <v>10676.445</v>
      </c>
      <c r="E40" s="37">
        <v>12000</v>
      </c>
      <c r="F40" s="38">
        <f t="shared" si="5"/>
        <v>0.88970375000000002</v>
      </c>
    </row>
    <row r="41" spans="1:16" s="1" customFormat="1">
      <c r="A41" s="56">
        <v>4</v>
      </c>
      <c r="B41" s="48">
        <f>(JULI!F12+JULI!F13+JULI!F14+JULI!F15+JULI!F16+JULI!F17+JULI!F18+JULI!F19+JULI!F20+JULI!F23)/1000</f>
        <v>10142.221</v>
      </c>
      <c r="C41" s="36">
        <f>(JULI!F21+JULI!F22)/1000</f>
        <v>610.16800000000001</v>
      </c>
      <c r="D41" s="36">
        <f t="shared" si="4"/>
        <v>10752.388999999999</v>
      </c>
      <c r="E41" s="37">
        <v>12000</v>
      </c>
      <c r="F41" s="38">
        <f t="shared" si="5"/>
        <v>0.89603241666666655</v>
      </c>
    </row>
    <row r="42" spans="1:16" s="1" customFormat="1">
      <c r="A42" s="56">
        <v>6</v>
      </c>
      <c r="B42" s="48">
        <f>(JULI!G12+JULI!G13+JULI!G14+JULI!G15+JULI!G16+JULI!G17+JULI!G18+JULI!G19+JULI!G20+JULI!G23)/1000</f>
        <v>9662.2430000000004</v>
      </c>
      <c r="C42" s="36">
        <f>(JULI!G21+JULI!G22)/1000</f>
        <v>589.37800000000004</v>
      </c>
      <c r="D42" s="36">
        <f t="shared" si="4"/>
        <v>10251.621000000001</v>
      </c>
      <c r="E42" s="37">
        <v>12000</v>
      </c>
      <c r="F42" s="38">
        <f t="shared" si="5"/>
        <v>0.85430175000000008</v>
      </c>
    </row>
    <row r="43" spans="1:16" s="1" customFormat="1">
      <c r="A43" s="56">
        <v>7</v>
      </c>
      <c r="B43" s="48">
        <f>(JULI!H12+JULI!H13+JULI!H14+JULI!H15+JULI!H16+JULI!H17+JULI!H18+JULI!H19+JULI!H20+JULI!H23)/1000</f>
        <v>9922.4449999999997</v>
      </c>
      <c r="C43" s="36">
        <f>(JULI!H21+JULI!H22)/1000</f>
        <v>390.38400000000001</v>
      </c>
      <c r="D43" s="36">
        <f t="shared" si="4"/>
        <v>10312.829</v>
      </c>
      <c r="E43" s="37">
        <v>12000</v>
      </c>
      <c r="F43" s="38">
        <f t="shared" si="5"/>
        <v>0.85940241666666661</v>
      </c>
    </row>
    <row r="44" spans="1:16" s="1" customFormat="1">
      <c r="A44" s="56">
        <v>8</v>
      </c>
      <c r="B44" s="48">
        <f>(JULI!I12+JULI!I13+JULI!I14+JULI!I15+JULI!I16+JULI!I17+JULI!I18+JULI!I19+JULI!I20+JULI!I23)/1000</f>
        <v>9937.1949999999997</v>
      </c>
      <c r="C44" s="36">
        <f>(JULI!I21+JULI!I22)/1000</f>
        <v>361.94</v>
      </c>
      <c r="D44" s="36">
        <f t="shared" si="4"/>
        <v>10299.135</v>
      </c>
      <c r="E44" s="37">
        <v>12000</v>
      </c>
      <c r="F44" s="38">
        <f t="shared" si="5"/>
        <v>0.85826124999999998</v>
      </c>
    </row>
    <row r="45" spans="1:16" s="1" customFormat="1">
      <c r="A45" s="56">
        <v>9</v>
      </c>
      <c r="B45" s="48">
        <f>(JULI!J12+JULI!J13+JULI!J14+JULI!J15+JULI!J16+JULI!J17+JULI!J18+JULI!J19+JULI!J20+JULI!J23)/1000</f>
        <v>9682.3709999999992</v>
      </c>
      <c r="C45" s="36">
        <f>(JULI!J21+JULI!J22)/1000</f>
        <v>374.26400000000001</v>
      </c>
      <c r="D45" s="36">
        <f t="shared" si="4"/>
        <v>10056.634999999998</v>
      </c>
      <c r="E45" s="37">
        <v>12000</v>
      </c>
      <c r="F45" s="38">
        <f t="shared" si="5"/>
        <v>0.83805291666666648</v>
      </c>
    </row>
    <row r="46" spans="1:16" s="1" customFormat="1">
      <c r="A46" s="56">
        <v>10</v>
      </c>
      <c r="B46" s="48">
        <f>(JULI!K12+JULI!K13+JULI!K14+JULI!K15+JULI!K16+JULI!K17+JULI!K18+JULI!K19+JULI!K20+JULI!K23)/1000</f>
        <v>8331.7109999999993</v>
      </c>
      <c r="C46" s="36">
        <f>(JULI!K21+JULI!K22)/1000</f>
        <v>387.75099999999998</v>
      </c>
      <c r="D46" s="36">
        <f t="shared" si="4"/>
        <v>8719.4619999999995</v>
      </c>
      <c r="E46" s="37">
        <v>12000</v>
      </c>
      <c r="F46" s="38">
        <f t="shared" si="5"/>
        <v>0.7266218333333333</v>
      </c>
    </row>
    <row r="47" spans="1:16" s="1" customFormat="1">
      <c r="A47" s="56">
        <v>11</v>
      </c>
      <c r="B47" s="48">
        <f>(JULI!L12+JULI!L13+JULI!L14+JULI!L15+JULI!L16+JULI!L17+JULI!L18+JULI!L19+JULI!L20+JULI!L23)/1000</f>
        <v>8607.6679999999997</v>
      </c>
      <c r="C47" s="36">
        <f>(JULI!L21+JULI!L22)/1000</f>
        <v>462.24400000000003</v>
      </c>
      <c r="D47" s="36">
        <f t="shared" si="4"/>
        <v>9069.9120000000003</v>
      </c>
      <c r="E47" s="37">
        <v>12000</v>
      </c>
      <c r="F47" s="38">
        <f t="shared" si="5"/>
        <v>0.755826</v>
      </c>
    </row>
    <row r="48" spans="1:16" s="1" customFormat="1">
      <c r="A48" s="56">
        <v>13</v>
      </c>
      <c r="B48" s="48">
        <f>(JULI!M12+JULI!M13+JULI!M14+JULI!M15+JULI!M16+JULI!M17+JULI!M18+JULI!M19+JULI!M20+JULI!M23)/1000</f>
        <v>9414.9549999999999</v>
      </c>
      <c r="C48" s="36">
        <f>(JULI!M21+JULI!M22)/1000</f>
        <v>467.12799999999999</v>
      </c>
      <c r="D48" s="36">
        <f t="shared" si="4"/>
        <v>9882.0830000000005</v>
      </c>
      <c r="E48" s="37">
        <v>12000</v>
      </c>
      <c r="F48" s="38">
        <f t="shared" si="5"/>
        <v>0.82350691666666676</v>
      </c>
    </row>
    <row r="49" spans="1:11" s="1" customFormat="1">
      <c r="A49" s="56">
        <v>14</v>
      </c>
      <c r="B49" s="48">
        <f>(JULI!N12+JULI!N13+JULI!N14+JULI!N15+JULI!N16+JULI!N17+JULI!N18+JULI!N19+JULI!N20+JULI!N23)/1000</f>
        <v>8927.402</v>
      </c>
      <c r="C49" s="36">
        <f>(JULI!N21+JULI!N22)/1000</f>
        <v>429.00700000000001</v>
      </c>
      <c r="D49" s="36">
        <f t="shared" si="4"/>
        <v>9356.4089999999997</v>
      </c>
      <c r="E49" s="37">
        <v>12000</v>
      </c>
      <c r="F49" s="38">
        <f t="shared" si="5"/>
        <v>0.77970074999999994</v>
      </c>
    </row>
    <row r="50" spans="1:11" s="1" customFormat="1">
      <c r="A50" s="56">
        <v>15</v>
      </c>
      <c r="B50" s="48">
        <f>(JULI!O12+JULI!O13+JULI!O14+JULI!O15+JULI!O16+JULI!O17+JULI!O18+JULI!O19+JULI!O20+JULI!O23)/1000</f>
        <v>8044.9719999999998</v>
      </c>
      <c r="C50" s="36">
        <f>(JULI!O21+JULI!O22)/1000</f>
        <v>307.90300000000002</v>
      </c>
      <c r="D50" s="36">
        <f t="shared" si="4"/>
        <v>8352.875</v>
      </c>
      <c r="E50" s="37">
        <v>12000</v>
      </c>
      <c r="F50" s="38">
        <f t="shared" si="5"/>
        <v>0.69607291666666671</v>
      </c>
    </row>
    <row r="51" spans="1:11" s="1" customFormat="1">
      <c r="A51" s="56">
        <v>16</v>
      </c>
      <c r="B51" s="48">
        <f>(JULI!P12+JULI!P13+JULI!P14+JULI!P15+JULI!P16+JULI!P17+JULI!P18+JULI!P19+JULI!P20+JULI!P23)/1000</f>
        <v>8113.6139999999996</v>
      </c>
      <c r="C51" s="36">
        <f>(JULI!P21+JULI!P22)/1000</f>
        <v>670.97699999999998</v>
      </c>
      <c r="D51" s="36">
        <f t="shared" si="4"/>
        <v>8784.5910000000003</v>
      </c>
      <c r="E51" s="37">
        <v>12000</v>
      </c>
      <c r="F51" s="38">
        <f t="shared" si="5"/>
        <v>0.73204924999999998</v>
      </c>
    </row>
    <row r="52" spans="1:11" s="1" customFormat="1">
      <c r="A52" s="56">
        <v>17</v>
      </c>
      <c r="B52" s="48">
        <f>(JULI!Q12+JULI!Q13+JULI!Q14+JULI!Q15+JULI!Q16+JULI!Q17+JULI!Q18+JULI!Q19+JULI!Q20+JULI!Q23)/1000</f>
        <v>9115.9339999999993</v>
      </c>
      <c r="C52" s="36">
        <f>(JULI!Q21+JULI!Q22)/1000</f>
        <v>459.15499999999997</v>
      </c>
      <c r="D52" s="36">
        <f t="shared" si="4"/>
        <v>9575.0889999999999</v>
      </c>
      <c r="E52" s="37">
        <v>12000</v>
      </c>
      <c r="F52" s="38">
        <f t="shared" si="5"/>
        <v>0.79792408333333331</v>
      </c>
    </row>
    <row r="53" spans="1:11" s="1" customFormat="1" ht="15.75">
      <c r="A53" s="56">
        <v>18</v>
      </c>
      <c r="B53" s="48">
        <f>(JULI!R12+JULI!R13+JULI!R14+JULI!R15+JULI!R16+JULI!R17+JULI!R18+JULI!R19+JULI!R20+JULI!R23)/1000</f>
        <v>9547.2800000000007</v>
      </c>
      <c r="C53" s="36">
        <f>(JULI!R21+JULI!R22)/1000</f>
        <v>288.74</v>
      </c>
      <c r="D53" s="36">
        <f t="shared" si="4"/>
        <v>9836.02</v>
      </c>
      <c r="E53" s="37">
        <v>12000</v>
      </c>
      <c r="F53" s="38">
        <f t="shared" si="5"/>
        <v>0.81966833333333333</v>
      </c>
      <c r="H53" s="8" t="s">
        <v>22</v>
      </c>
    </row>
    <row r="54" spans="1:11" s="1" customFormat="1" ht="15.75">
      <c r="A54" s="56">
        <v>20</v>
      </c>
      <c r="B54" s="48">
        <f>(JULI!S12+JULI!S13+JULI!S14+JULI!S15+JULI!S16+JULI!S17+JULI!S18+JULI!S19+JULI!S20+JULI!S23)/1000</f>
        <v>9011.1329999999998</v>
      </c>
      <c r="C54" s="36">
        <f>(JULI!S21+JULI!S22)/1000</f>
        <v>422.83499999999998</v>
      </c>
      <c r="D54" s="36">
        <f t="shared" si="4"/>
        <v>9433.9679999999989</v>
      </c>
      <c r="E54" s="37">
        <v>12000</v>
      </c>
      <c r="F54" s="38">
        <f t="shared" si="5"/>
        <v>0.78616399999999986</v>
      </c>
      <c r="H54" s="8" t="s">
        <v>23</v>
      </c>
    </row>
    <row r="55" spans="1:11" s="1" customFormat="1" ht="15.75">
      <c r="A55" s="56">
        <v>21</v>
      </c>
      <c r="B55" s="48">
        <f>(JULI!T12+JULI!T13+JULI!T14+JULI!T15+JULI!T16+JULI!T17+JULI!T18+JULI!T19+JULI!T20+JULI!T23)/1000</f>
        <v>8945.2849999999999</v>
      </c>
      <c r="C55" s="36">
        <f>(JULI!T21+JULI!T22)/1000</f>
        <v>289.24599999999998</v>
      </c>
      <c r="D55" s="36">
        <f t="shared" si="4"/>
        <v>9234.530999999999</v>
      </c>
      <c r="E55" s="37">
        <v>12000</v>
      </c>
      <c r="F55" s="38">
        <f t="shared" si="5"/>
        <v>0.76954424999999993</v>
      </c>
      <c r="H55" s="8" t="s">
        <v>24</v>
      </c>
      <c r="I55" s="8"/>
      <c r="J55" s="39">
        <v>12000</v>
      </c>
      <c r="K55" s="8" t="s">
        <v>25</v>
      </c>
    </row>
    <row r="56" spans="1:11" s="1" customFormat="1" ht="15.75">
      <c r="A56" s="56">
        <v>22</v>
      </c>
      <c r="B56" s="48">
        <f>(JULI!U12+JULI!U13+JULI!U14+JULI!U15+JULI!U16+JULI!U17+JULI!U18+JULI!U19+JULI!U20+JULI!U23)/1000</f>
        <v>8849.125</v>
      </c>
      <c r="C56" s="36">
        <f>(JULI!U21+JULI!U22)/1000</f>
        <v>243.82</v>
      </c>
      <c r="D56" s="36">
        <f t="shared" si="4"/>
        <v>9092.9449999999997</v>
      </c>
      <c r="E56" s="37">
        <v>12000</v>
      </c>
      <c r="F56" s="38">
        <f t="shared" si="5"/>
        <v>0.75774541666666662</v>
      </c>
      <c r="H56" s="58" t="s">
        <v>61</v>
      </c>
      <c r="I56" s="58"/>
      <c r="J56" s="9">
        <v>14328</v>
      </c>
      <c r="K56" s="8" t="s">
        <v>25</v>
      </c>
    </row>
    <row r="57" spans="1:11" s="1" customFormat="1" ht="15.75">
      <c r="A57" s="56">
        <v>23</v>
      </c>
      <c r="B57" s="48"/>
      <c r="C57" s="36"/>
      <c r="D57" s="36">
        <f t="shared" si="4"/>
        <v>0</v>
      </c>
      <c r="E57" s="37">
        <v>12000</v>
      </c>
      <c r="F57" s="38">
        <f t="shared" si="5"/>
        <v>0</v>
      </c>
      <c r="H57" s="8" t="s">
        <v>26</v>
      </c>
      <c r="I57" s="8"/>
      <c r="J57" s="40">
        <f>J56/J55</f>
        <v>1.194</v>
      </c>
      <c r="K57" s="8" t="s">
        <v>25</v>
      </c>
    </row>
    <row r="58" spans="1:11" s="1" customFormat="1" ht="15.75">
      <c r="A58" s="56">
        <v>24</v>
      </c>
      <c r="B58" s="48"/>
      <c r="C58" s="36"/>
      <c r="D58" s="36">
        <f t="shared" si="4"/>
        <v>0</v>
      </c>
      <c r="E58" s="37">
        <v>12000</v>
      </c>
      <c r="F58" s="38">
        <f t="shared" si="5"/>
        <v>0</v>
      </c>
      <c r="H58" s="8" t="s">
        <v>27</v>
      </c>
      <c r="I58" s="8"/>
      <c r="J58" s="40">
        <f>100%-J57</f>
        <v>-0.19399999999999995</v>
      </c>
      <c r="K58" s="8" t="s">
        <v>25</v>
      </c>
    </row>
    <row r="59" spans="1:11" s="1" customFormat="1" ht="15.75">
      <c r="A59" s="56">
        <v>25</v>
      </c>
      <c r="B59" s="48"/>
      <c r="C59" s="36"/>
      <c r="D59" s="36">
        <f t="shared" si="4"/>
        <v>0</v>
      </c>
      <c r="E59" s="37">
        <v>12000</v>
      </c>
      <c r="F59" s="38">
        <f t="shared" si="5"/>
        <v>0</v>
      </c>
      <c r="H59" s="8"/>
      <c r="I59" s="8"/>
      <c r="J59" s="40"/>
      <c r="K59" s="8"/>
    </row>
    <row r="60" spans="1:11" s="1" customFormat="1" ht="15.75">
      <c r="A60" s="56">
        <v>27</v>
      </c>
      <c r="B60" s="48"/>
      <c r="C60" s="36"/>
      <c r="D60" s="36">
        <f t="shared" si="4"/>
        <v>0</v>
      </c>
      <c r="E60" s="37">
        <v>12000</v>
      </c>
      <c r="F60" s="38">
        <f t="shared" si="5"/>
        <v>0</v>
      </c>
      <c r="H60" s="8"/>
      <c r="I60" s="8"/>
      <c r="J60" s="40"/>
      <c r="K60" s="8"/>
    </row>
    <row r="61" spans="1:11" s="1" customFormat="1" ht="15.75">
      <c r="A61" s="56">
        <v>28</v>
      </c>
      <c r="B61" s="48"/>
      <c r="C61" s="36"/>
      <c r="D61" s="36">
        <f t="shared" si="4"/>
        <v>0</v>
      </c>
      <c r="E61" s="37">
        <v>12000</v>
      </c>
      <c r="F61" s="38">
        <f t="shared" si="5"/>
        <v>0</v>
      </c>
      <c r="H61" s="8"/>
      <c r="I61" s="8"/>
      <c r="J61" s="40"/>
      <c r="K61" s="8"/>
    </row>
    <row r="62" spans="1:11" s="1" customFormat="1" ht="15.75">
      <c r="A62" s="56">
        <v>29</v>
      </c>
      <c r="B62" s="48"/>
      <c r="C62" s="36"/>
      <c r="D62" s="36">
        <f t="shared" ref="D62:D64" si="6">B62+C62</f>
        <v>0</v>
      </c>
      <c r="E62" s="37">
        <v>12000</v>
      </c>
      <c r="F62" s="38">
        <f t="shared" ref="F62:F64" si="7">D62/E62</f>
        <v>0</v>
      </c>
      <c r="H62" s="8"/>
      <c r="I62" s="8"/>
      <c r="J62" s="40"/>
      <c r="K62" s="8"/>
    </row>
    <row r="63" spans="1:11" s="1" customFormat="1" ht="15.75">
      <c r="A63" s="56">
        <v>30</v>
      </c>
      <c r="B63" s="48"/>
      <c r="C63" s="36"/>
      <c r="D63" s="36">
        <f t="shared" si="6"/>
        <v>0</v>
      </c>
      <c r="E63" s="37">
        <v>12000</v>
      </c>
      <c r="F63" s="38">
        <f t="shared" si="7"/>
        <v>0</v>
      </c>
      <c r="H63" s="8"/>
      <c r="I63" s="8"/>
      <c r="J63" s="40"/>
      <c r="K63" s="8"/>
    </row>
    <row r="64" spans="1:11" s="1" customFormat="1" ht="15.75">
      <c r="A64" s="56">
        <v>31</v>
      </c>
      <c r="B64" s="48"/>
      <c r="C64" s="36"/>
      <c r="D64" s="36">
        <f t="shared" si="6"/>
        <v>0</v>
      </c>
      <c r="E64" s="37">
        <v>12000</v>
      </c>
      <c r="F64" s="38">
        <f t="shared" si="7"/>
        <v>0</v>
      </c>
      <c r="H64" s="8"/>
      <c r="I64" s="8"/>
      <c r="J64" s="40"/>
      <c r="K64" s="8"/>
    </row>
    <row r="65" spans="1:27" s="1" customFormat="1" ht="15.75">
      <c r="A65" s="23"/>
      <c r="B65" s="24">
        <f>AVERAGE(B38:B64)</f>
        <v>9360.1087894736847</v>
      </c>
      <c r="C65" s="24">
        <f>AVERAGE(C38:C64)</f>
        <v>444.88247368421042</v>
      </c>
      <c r="D65" s="24">
        <f>AVERAGE(D38:D64)</f>
        <v>6899.808666666665</v>
      </c>
      <c r="E65" s="24">
        <f>AVERAGE(E38:E64)</f>
        <v>12000</v>
      </c>
      <c r="F65" s="46">
        <f>AVERAGE(F38:F64)</f>
        <v>0.57498405555555554</v>
      </c>
      <c r="H65" s="8"/>
      <c r="I65" s="8"/>
      <c r="J65" s="40"/>
      <c r="K65" s="8"/>
    </row>
    <row r="66" spans="1:27" s="1" customFormat="1" ht="15.75">
      <c r="A66" s="13" t="s">
        <v>21</v>
      </c>
      <c r="B66" s="14">
        <f>MAX(B38:B60)</f>
        <v>10888.099</v>
      </c>
      <c r="C66" s="14">
        <f>MAX(C38:C60)</f>
        <v>726.47500000000002</v>
      </c>
      <c r="D66" s="14">
        <f>MAX(D38:D60)</f>
        <v>11614.574000000001</v>
      </c>
      <c r="E66" s="15">
        <v>12000</v>
      </c>
      <c r="F66" s="16">
        <f>D66/E66</f>
        <v>0.96788116666666668</v>
      </c>
      <c r="H66" s="8"/>
      <c r="I66" s="8"/>
      <c r="J66" s="40"/>
      <c r="K66" s="8"/>
    </row>
    <row r="67" spans="1:27" s="1" customFormat="1">
      <c r="A67" s="17"/>
      <c r="B67" s="18"/>
      <c r="C67" s="18"/>
      <c r="D67" s="18"/>
      <c r="E67" s="19"/>
      <c r="F67" s="20"/>
    </row>
    <row r="68" spans="1:27">
      <c r="A68" s="17"/>
      <c r="B68" s="18"/>
      <c r="C68" s="18"/>
      <c r="D68" s="18"/>
      <c r="E68" s="19"/>
      <c r="F68" s="20"/>
      <c r="T68" s="1"/>
      <c r="U68" s="1"/>
      <c r="V68" s="1"/>
      <c r="W68" s="1"/>
      <c r="X68" s="1"/>
      <c r="Y68" s="1"/>
      <c r="Z68" s="1"/>
      <c r="AA68" s="1"/>
    </row>
    <row r="69" spans="1:27">
      <c r="T69" s="1"/>
    </row>
    <row r="70" spans="1:27">
      <c r="T70" s="1"/>
    </row>
    <row r="71" spans="1:27">
      <c r="T71" s="1"/>
    </row>
    <row r="72" spans="1:27">
      <c r="T72" s="1"/>
    </row>
  </sheetData>
  <mergeCells count="12">
    <mergeCell ref="H56:I56"/>
    <mergeCell ref="A2:A3"/>
    <mergeCell ref="B2:C2"/>
    <mergeCell ref="D2:D3"/>
    <mergeCell ref="E2:E3"/>
    <mergeCell ref="F2:F3"/>
    <mergeCell ref="H21:I21"/>
    <mergeCell ref="A36:A37"/>
    <mergeCell ref="B36:C36"/>
    <mergeCell ref="D36:D37"/>
    <mergeCell ref="E36:E37"/>
    <mergeCell ref="F36:F37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</vt:lpstr>
      <vt:lpstr>KAPASITAS JAN</vt:lpstr>
      <vt:lpstr>FEB</vt:lpstr>
      <vt:lpstr>KAPASITAS FEB</vt:lpstr>
      <vt:lpstr>MAR</vt:lpstr>
      <vt:lpstr>KAPASITAS MAR</vt:lpstr>
      <vt:lpstr>APR</vt:lpstr>
      <vt:lpstr>KAPASITAS APR</vt:lpstr>
      <vt:lpstr>MEI</vt:lpstr>
      <vt:lpstr>KAPASITAS MEI</vt:lpstr>
      <vt:lpstr>JUNI</vt:lpstr>
      <vt:lpstr>KAPASITAS JUNI</vt:lpstr>
      <vt:lpstr>JULI</vt:lpstr>
      <vt:lpstr>KAPASITAS JULI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Lidwina Prista</cp:lastModifiedBy>
  <cp:lastPrinted>2024-02-15T04:19:11Z</cp:lastPrinted>
  <dcterms:created xsi:type="dcterms:W3CDTF">2020-08-10T08:06:00Z</dcterms:created>
  <dcterms:modified xsi:type="dcterms:W3CDTF">2026-07-23T01:54:46Z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2057-11.2.0.10017</vt:lpwstr>
  </property>
</Properties>
</file>